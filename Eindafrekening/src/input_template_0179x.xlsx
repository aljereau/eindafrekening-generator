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0" documentId="8_{4A35E5A5-4E55-D04B-A69B-52DE15A2528A}" xr6:coauthVersionLast="47" xr6:coauthVersionMax="47" xr10:uidLastSave="{00000000-0000-0000-0000-000000000000}"/>
  <bookViews>
    <workbookView xWindow="-120" yWindow="-19860" windowWidth="30220" windowHeight="20200" xr2:uid="{00000000-000D-0000-FFFF-FFFF00000000}"/>
  </bookViews>
  <sheets>
    <sheet name="Algemeen" sheetId="1" r:id="rId1"/>
    <sheet name="Lists" sheetId="2" state="hidden" r:id="rId2"/>
    <sheet name="GWE_Detail" sheetId="3" r:id="rId3"/>
    <sheet name="Schoonmaak" sheetId="4" r:id="rId4"/>
    <sheet name="Schade" sheetId="5" r:id="rId5"/>
  </sheets>
  <definedNames>
    <definedName name="Aantal_dagen">Algemeen!$B$20</definedName>
    <definedName name="Borg_gebruikt">Algemeen!$B$46</definedName>
    <definedName name="Borg_terug">Algemeen!$B$47</definedName>
    <definedName name="Contactpersoon">Algemeen!$B$5</definedName>
    <definedName name="Contractnummer">Algemeen!$B$36</definedName>
    <definedName name="Email">Algemeen!$B$6</definedName>
    <definedName name="Energie_leverancier">Algemeen!$B$35</definedName>
    <definedName name="Extra_schoonmaak_bedrag">Schoonmaak!$B$9</definedName>
    <definedName name="Extra_uren">Schoonmaak!$B$7</definedName>
    <definedName name="Extra_voorschot_bedrag">Algemeen!$B$27</definedName>
    <definedName name="Extra_voorschot_gebruikt">Algemeen!$B$50</definedName>
    <definedName name="Extra_voorschot_omschrijving">Algemeen!$B$28</definedName>
    <definedName name="Extra_voorschot_restschade">Algemeen!$B$52</definedName>
    <definedName name="Extra_voorschot_terug">Algemeen!$B$51</definedName>
    <definedName name="Gas_begin">GWE_Detail!$B$7</definedName>
    <definedName name="Gas_eind">GWE_Detail!$B$8</definedName>
    <definedName name="Gas_verbruik">GWE_Detail!$B$9</definedName>
    <definedName name="GWE_BTW">GWE_Detail!$B$40</definedName>
    <definedName name="GWE_meer_minder">Algemeen!$B$49</definedName>
    <definedName name="GWE_totaal_excl">GWE_Detail!$B$39</definedName>
    <definedName name="GWE_totaal_incl">GWE_Detail!$B$41</definedName>
    <definedName name="Inbegrepen_uren">Algemeen!$B$32</definedName>
    <definedName name="Incheck_datum">Algemeen!$B$18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Algemeen!$B$34</definedName>
    <definedName name="Object_adres">Algemeen!$B$10</definedName>
    <definedName name="Object_ID">Algemeen!$B$15</definedName>
    <definedName name="Overige_voorschotten">Algemeen!$B$26</definedName>
    <definedName name="Plaats">Algemeen!$B$14</definedName>
    <definedName name="Postcode">Algemeen!$B$13</definedName>
    <definedName name="Restschade">Algemeen!$B$48</definedName>
    <definedName name="RR_Factuurnummer">Algemeen!$B$43</definedName>
    <definedName name="RR_Folder_link">Algemeen!$B$40</definedName>
    <definedName name="RR_Inspecteur">Algemeen!$B$42</definedName>
    <definedName name="RR_Klantnummer">Algemeen!$B$39</definedName>
    <definedName name="RR_Projectleider">Algemeen!$B$41</definedName>
    <definedName name="Schade_BTW">Schade!$B$59</definedName>
    <definedName name="Schade_totaal_excl">Schade!$B$58</definedName>
    <definedName name="Schade_totaal_incl">Schade!$B$60</definedName>
    <definedName name="Schoonmaak_pakket">Algemeen!$B$31</definedName>
    <definedName name="Telefoonnummer">Algemeen!$B$7</definedName>
    <definedName name="Totaal_eindafrekening">Algemeen!$B$53</definedName>
    <definedName name="Totaal_uren_gew">Schoonmaak!$B$6</definedName>
    <definedName name="Uitcheck_datum">Algemeen!$B$19</definedName>
    <definedName name="Unit_nr">Algemeen!$B$12</definedName>
    <definedName name="Uurtarief_schoonmaak">Algemeen!$B$33</definedName>
    <definedName name="Voorschot_borg">Algemeen!$B$23</definedName>
    <definedName name="Voorschot_GWE">Algemeen!$B$24</definedName>
    <definedName name="Voorschot_schoonmaak">Algemeen!$B$25</definedName>
    <definedName name="Water_begin">GWE_Detail!$B$10</definedName>
    <definedName name="Water_eind">GWE_Detail!$B$11</definedName>
    <definedName name="Water_verbruik">GWE_Detail!$B$12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0" i="3"/>
  <c r="B24" i="1"/>
  <c r="D28" i="1"/>
  <c r="D27" i="1"/>
  <c r="D26" i="1"/>
  <c r="D25" i="1"/>
  <c r="D24" i="1"/>
  <c r="B5" i="3"/>
  <c r="B4" i="3"/>
  <c r="D22" i="3"/>
  <c r="D23" i="3"/>
  <c r="D24" i="3"/>
  <c r="D25" i="3"/>
  <c r="D26" i="3"/>
  <c r="D27" i="3"/>
  <c r="F27" i="3" s="1"/>
  <c r="D28" i="3"/>
  <c r="D29" i="3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55" i="5"/>
  <c r="D55" i="5"/>
  <c r="D54" i="5"/>
  <c r="F54" i="5" s="1"/>
  <c r="D53" i="5"/>
  <c r="F53" i="5" s="1"/>
  <c r="D52" i="5"/>
  <c r="F52" i="5" s="1"/>
  <c r="D51" i="5"/>
  <c r="F51" i="5" s="1"/>
  <c r="F50" i="5"/>
  <c r="D50" i="5"/>
  <c r="D49" i="5"/>
  <c r="F49" i="5" s="1"/>
  <c r="F48" i="5"/>
  <c r="D48" i="5"/>
  <c r="D47" i="5"/>
  <c r="F47" i="5" s="1"/>
  <c r="D46" i="5"/>
  <c r="F46" i="5" s="1"/>
  <c r="D45" i="5"/>
  <c r="F45" i="5" s="1"/>
  <c r="F44" i="5"/>
  <c r="D44" i="5"/>
  <c r="F43" i="5"/>
  <c r="D43" i="5"/>
  <c r="D42" i="5"/>
  <c r="F42" i="5" s="1"/>
  <c r="F41" i="5"/>
  <c r="D41" i="5"/>
  <c r="D40" i="5"/>
  <c r="F40" i="5" s="1"/>
  <c r="D39" i="5"/>
  <c r="F39" i="5" s="1"/>
  <c r="D38" i="5"/>
  <c r="F38" i="5" s="1"/>
  <c r="D37" i="5"/>
  <c r="F37" i="5" s="1"/>
  <c r="F36" i="5"/>
  <c r="D36" i="5"/>
  <c r="D35" i="5"/>
  <c r="F35" i="5" s="1"/>
  <c r="F34" i="5"/>
  <c r="D34" i="5"/>
  <c r="D33" i="5"/>
  <c r="F33" i="5" s="1"/>
  <c r="D32" i="5"/>
  <c r="F32" i="5" s="1"/>
  <c r="D31" i="5"/>
  <c r="F31" i="5" s="1"/>
  <c r="D30" i="5"/>
  <c r="F30" i="5" s="1"/>
  <c r="F29" i="5"/>
  <c r="D29" i="5"/>
  <c r="D28" i="5"/>
  <c r="F28" i="5" s="1"/>
  <c r="F27" i="5"/>
  <c r="D27" i="5"/>
  <c r="D26" i="5"/>
  <c r="F26" i="5" s="1"/>
  <c r="D25" i="5"/>
  <c r="F25" i="5" s="1"/>
  <c r="D24" i="5"/>
  <c r="F24" i="5" s="1"/>
  <c r="D23" i="5"/>
  <c r="F23" i="5" s="1"/>
  <c r="F22" i="5"/>
  <c r="D22" i="5"/>
  <c r="D21" i="5"/>
  <c r="F21" i="5" s="1"/>
  <c r="F20" i="5"/>
  <c r="D20" i="5"/>
  <c r="D19" i="5"/>
  <c r="F19" i="5" s="1"/>
  <c r="D18" i="5"/>
  <c r="F18" i="5" s="1"/>
  <c r="D17" i="5"/>
  <c r="F17" i="5" s="1"/>
  <c r="D16" i="5"/>
  <c r="F16" i="5" s="1"/>
  <c r="F15" i="5"/>
  <c r="D15" i="5"/>
  <c r="D14" i="5"/>
  <c r="F14" i="5" s="1"/>
  <c r="F13" i="5"/>
  <c r="D13" i="5"/>
  <c r="D12" i="5"/>
  <c r="F12" i="5" s="1"/>
  <c r="D11" i="5"/>
  <c r="F11" i="5" s="1"/>
  <c r="D10" i="5"/>
  <c r="F10" i="5" s="1"/>
  <c r="D9" i="5"/>
  <c r="F9" i="5" s="1"/>
  <c r="F8" i="5"/>
  <c r="D8" i="5"/>
  <c r="D7" i="5"/>
  <c r="F7" i="5" s="1"/>
  <c r="F6" i="5"/>
  <c r="D6" i="5"/>
  <c r="B58" i="5" s="1"/>
  <c r="B8" i="4"/>
  <c r="B4" i="4"/>
  <c r="B5" i="4" s="1"/>
  <c r="B7" i="4" s="1"/>
  <c r="B9" i="4" s="1"/>
  <c r="F36" i="3"/>
  <c r="F29" i="3"/>
  <c r="F28" i="3"/>
  <c r="F26" i="3"/>
  <c r="F25" i="3"/>
  <c r="F24" i="3"/>
  <c r="F23" i="3"/>
  <c r="F22" i="3"/>
  <c r="D21" i="3"/>
  <c r="F21" i="3" s="1"/>
  <c r="D19" i="3"/>
  <c r="F19" i="3" s="1"/>
  <c r="D18" i="3"/>
  <c r="F18" i="3" s="1"/>
  <c r="B12" i="3"/>
  <c r="B9" i="3"/>
  <c r="B6" i="3"/>
  <c r="D17" i="3" s="1"/>
  <c r="B52" i="1"/>
  <c r="B51" i="1"/>
  <c r="B32" i="1"/>
  <c r="B20" i="1"/>
  <c r="D20" i="3" s="1"/>
  <c r="F20" i="3" s="1"/>
  <c r="B15" i="1"/>
  <c r="B11" i="1"/>
  <c r="B7" i="1"/>
  <c r="B5" i="1"/>
  <c r="F17" i="3" l="1"/>
  <c r="B39" i="3"/>
  <c r="B59" i="5"/>
  <c r="B60" i="5" s="1"/>
  <c r="B46" i="1" s="1"/>
  <c r="B41" i="3" l="1"/>
  <c r="B48" i="1"/>
  <c r="B47" i="1"/>
  <c r="B53" i="1" l="1"/>
</calcChain>
</file>

<file path=xl/sharedStrings.xml><?xml version="1.0" encoding="utf-8"?>
<sst xmlns="http://schemas.openxmlformats.org/spreadsheetml/2006/main" count="1313" uniqueCount="1281">
  <si>
    <t>RYANRENT EINDAFREKENING - BASISGEGEVENS</t>
  </si>
  <si>
    <t>KLANTGEGEVENS</t>
  </si>
  <si>
    <t>Naam Klant *</t>
  </si>
  <si>
    <t>Contactpersoon (automatisch)</t>
  </si>
  <si>
    <t>Email (automatisch)</t>
  </si>
  <si>
    <t>Telefoonnummer (automatisch)</t>
  </si>
  <si>
    <t>OBJECTGEGEVENS</t>
  </si>
  <si>
    <t>Adres Object *</t>
  </si>
  <si>
    <t>Object ID (automatisch)</t>
  </si>
  <si>
    <t>Unit Nummer</t>
  </si>
  <si>
    <t>Postcode</t>
  </si>
  <si>
    <t>Plaats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</si>
  <si>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</si>
  <si>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</si>
  <si>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</si>
  <si>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</si>
  <si>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</si>
  <si>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</si>
  <si>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</si>
  <si>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</si>
  <si>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</si>
  <si>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</si>
  <si>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</si>
  <si>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</si>
  <si>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</si>
  <si>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</si>
  <si>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*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</si>
  <si>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</si>
  <si>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</si>
  <si>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</si>
  <si>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</si>
  <si>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</si>
  <si>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</si>
  <si>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</si>
  <si>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</si>
  <si>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</si>
  <si>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</si>
  <si>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</si>
  <si>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</si>
  <si>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</si>
  <si>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</si>
  <si>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</si>
  <si>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</si>
  <si>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</si>
  <si>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</si>
  <si>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</si>
  <si>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Address</t>
  </si>
  <si>
    <t>Object ID</t>
  </si>
  <si>
    <t>Client Name</t>
  </si>
  <si>
    <t>Contact Person</t>
  </si>
  <si>
    <t>Email</t>
  </si>
  <si>
    <t>Phone</t>
  </si>
  <si>
    <t>0392</t>
  </si>
  <si>
    <t>'t Werkt B.V.</t>
  </si>
  <si>
    <t>finance@twerkt.nl</t>
  </si>
  <si>
    <t>1e Middellandstraat 104A</t>
  </si>
  <si>
    <t>0388</t>
  </si>
  <si>
    <t>24/7 drive</t>
  </si>
  <si>
    <t>factuur@247drive.nl</t>
  </si>
  <si>
    <t>2e van Leydengaelstraat 6</t>
  </si>
  <si>
    <t>0022</t>
  </si>
  <si>
    <t>4 Homes B.V.</t>
  </si>
  <si>
    <t>factuur@4homes.nl</t>
  </si>
  <si>
    <t>Acacia 2</t>
  </si>
  <si>
    <t>0003</t>
  </si>
  <si>
    <t>A. Blaszcak</t>
  </si>
  <si>
    <t>info@aneta.nl</t>
  </si>
  <si>
    <t>Achterdijk 47a</t>
  </si>
  <si>
    <t>0190</t>
  </si>
  <si>
    <t>A. Brouwers en S. Brouwers- van Weert</t>
  </si>
  <si>
    <t>Adriaan Baasstraat 34</t>
  </si>
  <si>
    <t>0007</t>
  </si>
  <si>
    <t>A. Dzaka</t>
  </si>
  <si>
    <t>adisa-kemo@hotmail.com</t>
  </si>
  <si>
    <t xml:space="preserve">Akkerweg 41 [huis 10] </t>
  </si>
  <si>
    <t>0341</t>
  </si>
  <si>
    <t>A. Ghali</t>
  </si>
  <si>
    <t xml:space="preserve">Akkerweg 41 [huis 11] </t>
  </si>
  <si>
    <t>0372</t>
  </si>
  <si>
    <t>A. Verschueren</t>
  </si>
  <si>
    <t>verhuur@reham.nl</t>
  </si>
  <si>
    <t>Akkerweg 41 [huis 14]</t>
  </si>
  <si>
    <t>0293</t>
  </si>
  <si>
    <t>A.H.S. Willemsen</t>
  </si>
  <si>
    <t>huurwoningarnhem@gmail.com</t>
  </si>
  <si>
    <t xml:space="preserve">Akkerweg 41 [huis 15] </t>
  </si>
  <si>
    <t>0294</t>
  </si>
  <si>
    <t>A.I.G. Lukkien</t>
  </si>
  <si>
    <t>Akkerweg 41 [huis 16]</t>
  </si>
  <si>
    <t>0342</t>
  </si>
  <si>
    <t>A.P.W. Koedooder</t>
  </si>
  <si>
    <t>apwkoedooder@gmail.com</t>
  </si>
  <si>
    <t>Akkerweg 41 [huis 17]</t>
  </si>
  <si>
    <t>0373</t>
  </si>
  <si>
    <t>A.W.N. Alkemade</t>
  </si>
  <si>
    <t>melkveebedrijfalkemade@kpnmail.nl</t>
  </si>
  <si>
    <t xml:space="preserve">Akkerweg 41 [huis 19] </t>
  </si>
  <si>
    <t>0343</t>
  </si>
  <si>
    <t>A.Y. Nicolai</t>
  </si>
  <si>
    <t>famnicolai@hotmail.com</t>
  </si>
  <si>
    <t xml:space="preserve">Akkerweg 41 [huis 20] </t>
  </si>
  <si>
    <t>0383</t>
  </si>
  <si>
    <t>ABC Bedrijfsservice B.V</t>
  </si>
  <si>
    <t>randy@abc-jobs.eu</t>
  </si>
  <si>
    <t xml:space="preserve">Akkerweg 41 [huis 26] </t>
  </si>
  <si>
    <t>0297</t>
  </si>
  <si>
    <t>AKRION ADMINISTRATION</t>
  </si>
  <si>
    <t>info@interm-project.com</t>
  </si>
  <si>
    <t xml:space="preserve">Akkerweg 41 [huis 35] </t>
  </si>
  <si>
    <t>0350</t>
  </si>
  <si>
    <t>AKT Autoschade</t>
  </si>
  <si>
    <t>facturen@aktautoschade.com</t>
  </si>
  <si>
    <t>Akkerweg 41 [huis 36]</t>
  </si>
  <si>
    <t>0356</t>
  </si>
  <si>
    <t>Adecco Group</t>
  </si>
  <si>
    <t>crediteurenadministratie@adecco.nl</t>
  </si>
  <si>
    <t xml:space="preserve">Akkerweg 41 [huis 37] </t>
  </si>
  <si>
    <t>0299</t>
  </si>
  <si>
    <t>Aelbers Flexibele Personeels Diensten B.V.</t>
  </si>
  <si>
    <t>facturen@aelberspersoneel.nl</t>
  </si>
  <si>
    <t xml:space="preserve">Akkerweg 41 [huis 40] </t>
  </si>
  <si>
    <t>0300</t>
  </si>
  <si>
    <t>Alis Vastgoed B.V.</t>
  </si>
  <si>
    <t>rifat@prokonak.nl</t>
  </si>
  <si>
    <t xml:space="preserve">Akkerweg 41 [huis 41] </t>
  </si>
  <si>
    <t>0301</t>
  </si>
  <si>
    <t>Alpha Workforce Aps</t>
  </si>
  <si>
    <t>operations@alphaworkforce.net</t>
  </si>
  <si>
    <t>Akkerweg 41 [huis 42]</t>
  </si>
  <si>
    <t>0302</t>
  </si>
  <si>
    <t>AmDor Projecten B.V.</t>
  </si>
  <si>
    <t>invoice@amdorprojecten.nl</t>
  </si>
  <si>
    <t xml:space="preserve">Akkerweg 41 [huis 55] </t>
  </si>
  <si>
    <t>0303</t>
  </si>
  <si>
    <t>Autobedrijf Voorne</t>
  </si>
  <si>
    <t>info@autobedrijfvoorne.nl</t>
  </si>
  <si>
    <t>Akkerweg 41 [huis 56]</t>
  </si>
  <si>
    <t>0304</t>
  </si>
  <si>
    <t>Autobedrijf W. Bronder</t>
  </si>
  <si>
    <t>k.bronder@outlook.com</t>
  </si>
  <si>
    <t>Akkerweg 41 [huis 57]</t>
  </si>
  <si>
    <t>0305</t>
  </si>
  <si>
    <t>Autodaxx B.V.</t>
  </si>
  <si>
    <t>inkoopfactuur@autodaxx.nl</t>
  </si>
  <si>
    <t>Akkerweg 41 [huis 58]</t>
  </si>
  <si>
    <t>0384</t>
  </si>
  <si>
    <t>B. Bosch</t>
  </si>
  <si>
    <t>brucebosch@live.nl</t>
  </si>
  <si>
    <t>Akkerweg 41 [huis 74]</t>
  </si>
  <si>
    <t>0327</t>
  </si>
  <si>
    <t>B. van Abeelen</t>
  </si>
  <si>
    <t>vanabeelenstucadoorsbedrijf@gmail.com</t>
  </si>
  <si>
    <t>Akkerweg 41 [huis 75]</t>
  </si>
  <si>
    <t>0307</t>
  </si>
  <si>
    <t>BDR Uitzendbureau B.V.</t>
  </si>
  <si>
    <t>muratbayka@gmail.com</t>
  </si>
  <si>
    <t>Allard Piersonlaan 142</t>
  </si>
  <si>
    <t>0002</t>
  </si>
  <si>
    <t>BJ Bakker</t>
  </si>
  <si>
    <t>bjbakker85@hotmail.com</t>
  </si>
  <si>
    <t>Amperelaan 23</t>
  </si>
  <si>
    <t>0043</t>
  </si>
  <si>
    <t>Bator V.O.F.</t>
  </si>
  <si>
    <t>Amperestraat 36A</t>
  </si>
  <si>
    <t>0135</t>
  </si>
  <si>
    <t>Best@Work B.V.</t>
  </si>
  <si>
    <t>info@bestatwork.nl</t>
  </si>
  <si>
    <t>Archimedesstraat 6B</t>
  </si>
  <si>
    <t>0353</t>
  </si>
  <si>
    <t>Betterway BV</t>
  </si>
  <si>
    <t>rbecker@fbaivastgoed.com</t>
  </si>
  <si>
    <t>Baanhoek 139</t>
  </si>
  <si>
    <t>0055</t>
  </si>
  <si>
    <t>Bosch B Dhr (Scheepjesbrug 814 Meerkerk)</t>
  </si>
  <si>
    <t>Baarlelaan 27</t>
  </si>
  <si>
    <t>0012</t>
  </si>
  <si>
    <t>Bouius</t>
  </si>
  <si>
    <t>r.bouius@hotmail.com</t>
  </si>
  <si>
    <t>Baarsveen 197</t>
  </si>
  <si>
    <t>0013</t>
  </si>
  <si>
    <t>Bouw Service International B.V.</t>
  </si>
  <si>
    <t>bouwserviceinternational@gmail.com</t>
  </si>
  <si>
    <t>Beatrixstraat 3</t>
  </si>
  <si>
    <t>0040</t>
  </si>
  <si>
    <t>Bright Home Rentals B.V.</t>
  </si>
  <si>
    <t>administratie@brighthomerentals.nl</t>
  </si>
  <si>
    <t>Beeklaan 294</t>
  </si>
  <si>
    <t>0152</t>
  </si>
  <si>
    <t>Business Housing</t>
  </si>
  <si>
    <t>eliane@zamens.nl</t>
  </si>
  <si>
    <t>Bettingeslag 10</t>
  </si>
  <si>
    <t>0322</t>
  </si>
  <si>
    <t>Buurman Vastgoed E B.V.</t>
  </si>
  <si>
    <t>admin@inexho.com</t>
  </si>
  <si>
    <t>Beukenlaan 53</t>
  </si>
  <si>
    <t>0346</t>
  </si>
  <si>
    <t>Bw-engineering</t>
  </si>
  <si>
    <t>r.adelaar@bw-engineering.nl</t>
  </si>
  <si>
    <t>Bisschopstraat 68</t>
  </si>
  <si>
    <t>0047</t>
  </si>
  <si>
    <t>C-Flex B.V.</t>
  </si>
  <si>
    <t>administratie@cflexbv.nl</t>
  </si>
  <si>
    <t>Bliek 41</t>
  </si>
  <si>
    <t>0048</t>
  </si>
  <si>
    <t>C. van Winsen</t>
  </si>
  <si>
    <t>coenvanwinsen@gmail.com</t>
  </si>
  <si>
    <t>Bornerbroeksestraat 129A</t>
  </si>
  <si>
    <t>0049</t>
  </si>
  <si>
    <t>CASS Construction and Steel Structures Sp. z o.o</t>
  </si>
  <si>
    <t>p.samborski@cass.com.pl</t>
  </si>
  <si>
    <t>Buizerdstraat 210</t>
  </si>
  <si>
    <t>0027</t>
  </si>
  <si>
    <t>CB Construction UAB</t>
  </si>
  <si>
    <t>info@cbconstruction.eu</t>
  </si>
  <si>
    <t>Burchstraat 16A</t>
  </si>
  <si>
    <t>0097</t>
  </si>
  <si>
    <t>CB-Homes B.V.</t>
  </si>
  <si>
    <t>info@cb-homes.nl</t>
  </si>
  <si>
    <t>Chopinstraat 35A</t>
  </si>
  <si>
    <t>0131</t>
  </si>
  <si>
    <t>Central Job Facilities B.V.</t>
  </si>
  <si>
    <t>invoice@centraljob.nl</t>
  </si>
  <si>
    <t>Chopinstraat 39C</t>
  </si>
  <si>
    <t>0026</t>
  </si>
  <si>
    <t>City Estate B.V.</t>
  </si>
  <si>
    <t>huren@cityestate.nl</t>
  </si>
  <si>
    <t>Cloosterstraat 23a</t>
  </si>
  <si>
    <t>0370</t>
  </si>
  <si>
    <t>D Blommers</t>
  </si>
  <si>
    <t>d_blommers@hotmail.com</t>
  </si>
  <si>
    <t>Coehoorn van Scheltingaweg 12</t>
  </si>
  <si>
    <t>0051</t>
  </si>
  <si>
    <t>D Kleijweg</t>
  </si>
  <si>
    <t>devinkleijweg@hotmail.com</t>
  </si>
  <si>
    <t>Coehoorn van Scheltingaweg 66</t>
  </si>
  <si>
    <t>0052</t>
  </si>
  <si>
    <t>D. Walma</t>
  </si>
  <si>
    <t>info@timmerbedrijfwalma.nl</t>
  </si>
  <si>
    <t>Cubalaan 25</t>
  </si>
  <si>
    <t>0375</t>
  </si>
  <si>
    <t>DB Beheer B.V.</t>
  </si>
  <si>
    <t>info@dbwork.com</t>
  </si>
  <si>
    <t xml:space="preserve">Curcumastraat 39 </t>
  </si>
  <si>
    <t>0053</t>
  </si>
  <si>
    <t>DB woonruimtebemiddeling</t>
  </si>
  <si>
    <t>uren@dbgroup.nl</t>
  </si>
  <si>
    <t>Datheenstraat 255</t>
  </si>
  <si>
    <t>0151</t>
  </si>
  <si>
    <t>DIT en Larex Vakpersoneel B.V.</t>
  </si>
  <si>
    <t>factuur@ditenlarexvakpersoneel.nl</t>
  </si>
  <si>
    <t>De Hooidollen 606</t>
  </si>
  <si>
    <t>0056</t>
  </si>
  <si>
    <t>DNACC B.V. / Rolbakkie</t>
  </si>
  <si>
    <t>Deensestraat 6A2</t>
  </si>
  <si>
    <t>0153</t>
  </si>
  <si>
    <t>DS People B.V.</t>
  </si>
  <si>
    <t>Facturen@dspeople.nl</t>
  </si>
  <si>
    <t>Desiree Geerartstraat 1B</t>
  </si>
  <si>
    <t>0023</t>
  </si>
  <si>
    <t>De Borgmeren B.V.</t>
  </si>
  <si>
    <t>borgmeren@live.nl</t>
  </si>
  <si>
    <t>Desiree Geerartstraat 1C</t>
  </si>
  <si>
    <t>0024</t>
  </si>
  <si>
    <t>De Pagter Vastgoed B.V.</t>
  </si>
  <si>
    <t>info@depagtervastgoed.nl</t>
  </si>
  <si>
    <t>Deugenweerd 18</t>
  </si>
  <si>
    <t>0058</t>
  </si>
  <si>
    <t>De Uitlener B.V.</t>
  </si>
  <si>
    <t>facturen@deuitlener.nl</t>
  </si>
  <si>
    <t>Dieptol 63</t>
  </si>
  <si>
    <t>0059</t>
  </si>
  <si>
    <t>De Witte Brigade B.V.</t>
  </si>
  <si>
    <t>administratie@wittebrigade.nl</t>
  </si>
  <si>
    <t>Dorpsstraat 48</t>
  </si>
  <si>
    <t>0354</t>
  </si>
  <si>
    <t>Demeter BV</t>
  </si>
  <si>
    <t>Factuur.demeter@knoppertamaryllis.nl</t>
  </si>
  <si>
    <t>Dorpsstraat 73</t>
  </si>
  <si>
    <t>0066</t>
  </si>
  <si>
    <t>Desa Construction NL BV</t>
  </si>
  <si>
    <t>invoices.nl@desacons.eu</t>
  </si>
  <si>
    <t xml:space="preserve">Dwarsweg 44 </t>
  </si>
  <si>
    <t>0061</t>
  </si>
  <si>
    <t>Detaconcept Services B.V.</t>
  </si>
  <si>
    <t>paul@detaconcept.nl</t>
  </si>
  <si>
    <t>Elisadonk 220</t>
  </si>
  <si>
    <t>0136</t>
  </si>
  <si>
    <t>Detaconcept Uitzendgroep B.V.</t>
  </si>
  <si>
    <t>Energieweg 40</t>
  </si>
  <si>
    <t>0063</t>
  </si>
  <si>
    <t>Dhr D. Pronk en Mw y. Pronk - Dijkhuizen</t>
  </si>
  <si>
    <t>familiepronk-dijkhuizen@ziggo.nl</t>
  </si>
  <si>
    <t>Engelsestraat 16L3</t>
  </si>
  <si>
    <t>0095</t>
  </si>
  <si>
    <t>Dhr I.B. Stefan</t>
  </si>
  <si>
    <t>alexandrudorin93@gmail.com</t>
  </si>
  <si>
    <t>Enk 6</t>
  </si>
  <si>
    <t>0064</t>
  </si>
  <si>
    <t>Dhr. A. Dorin</t>
  </si>
  <si>
    <t>rasinfra@hotmail.com</t>
  </si>
  <si>
    <t>Enschotsestraat 163</t>
  </si>
  <si>
    <t>0006</t>
  </si>
  <si>
    <t>Dhr. A. Ros</t>
  </si>
  <si>
    <t>invoice-alex@hotmail.com</t>
  </si>
  <si>
    <t xml:space="preserve">Esdoornlaan 68 </t>
  </si>
  <si>
    <t>0065</t>
  </si>
  <si>
    <t>Dhr. B. Vlastuin</t>
  </si>
  <si>
    <t>bartvlastuin@gmail.com</t>
  </si>
  <si>
    <t>Flankstraat 11</t>
  </si>
  <si>
    <t>0331</t>
  </si>
  <si>
    <t>Dhr. J.L. Meerding</t>
  </si>
  <si>
    <t>jlmeerding@gmai.com</t>
  </si>
  <si>
    <t>Franz Liszstraat 5</t>
  </si>
  <si>
    <t>0067</t>
  </si>
  <si>
    <t>Dhr. J.M.R. Boringa</t>
  </si>
  <si>
    <t>rob@rohanvastgoed.nl</t>
  </si>
  <si>
    <t>G.A. Brederolaan 75B</t>
  </si>
  <si>
    <t>0017</t>
  </si>
  <si>
    <t>Dhr. M. Moeilijker</t>
  </si>
  <si>
    <t>mmoeilijker@gmail.com</t>
  </si>
  <si>
    <t>Geldersestraat 91</t>
  </si>
  <si>
    <t>0109</t>
  </si>
  <si>
    <t>Dhr. R Verspui</t>
  </si>
  <si>
    <t>rverspui@hotmail.com</t>
  </si>
  <si>
    <t>Geleenstraat 1</t>
  </si>
  <si>
    <t>0070</t>
  </si>
  <si>
    <t>Dhr. R. Bekken</t>
  </si>
  <si>
    <t>renzo.bekken@gmail.com</t>
  </si>
  <si>
    <t>Goudestein 30</t>
  </si>
  <si>
    <t>0170</t>
  </si>
  <si>
    <t>Dhr. R. J. Beking</t>
  </si>
  <si>
    <t>rjbeking@icloud.com</t>
  </si>
  <si>
    <t>Groenelaan 30B</t>
  </si>
  <si>
    <t>0025</t>
  </si>
  <si>
    <t>Dhr. SWJ Colpaert en Mevr. J. Michielsen</t>
  </si>
  <si>
    <t>info@jettymichielsen.com</t>
  </si>
  <si>
    <t>H. Algraplein 25</t>
  </si>
  <si>
    <t>0071</t>
  </si>
  <si>
    <t>Dhr. T. Roestenberg en Mw. Roestenberg - Hustinx</t>
  </si>
  <si>
    <t>timoroestenberg@hotmail.com</t>
  </si>
  <si>
    <t>Heemskerkstraat 19</t>
  </si>
  <si>
    <t>0072</t>
  </si>
  <si>
    <t>Direct Rendement B.V.</t>
  </si>
  <si>
    <t>info@directrendement.nl</t>
  </si>
  <si>
    <t>Hendrik Deddenstraat 26</t>
  </si>
  <si>
    <t>0073</t>
  </si>
  <si>
    <t>Duijndam Personeelsdiensten B.V.</t>
  </si>
  <si>
    <t>facturen@duijndamworks.nl</t>
  </si>
  <si>
    <t>Hendriklaan 49</t>
  </si>
  <si>
    <t>0325</t>
  </si>
  <si>
    <t>Dumanli</t>
  </si>
  <si>
    <t>Herenpad 20A</t>
  </si>
  <si>
    <t>0133</t>
  </si>
  <si>
    <t>Dunaj Projekty SRO</t>
  </si>
  <si>
    <t>pim.stroo@dunajprojekty.eu</t>
  </si>
  <si>
    <t>Hoefslag 8</t>
  </si>
  <si>
    <t>0107</t>
  </si>
  <si>
    <t>Dutch Ink</t>
  </si>
  <si>
    <t>Info@dutchink.nl</t>
  </si>
  <si>
    <t>Hogenbanweg 331</t>
  </si>
  <si>
    <t>0031</t>
  </si>
  <si>
    <t>Dutch Shipyard B.V.</t>
  </si>
  <si>
    <t>info@dutchshipyard.eu</t>
  </si>
  <si>
    <t>Hontenissestraat 124</t>
  </si>
  <si>
    <t>0181</t>
  </si>
  <si>
    <t>Dynalinx B.V.</t>
  </si>
  <si>
    <t>Hoofdstraat 110</t>
  </si>
  <si>
    <t>0075</t>
  </si>
  <si>
    <t>E Rebel</t>
  </si>
  <si>
    <t>erebel@ziggo.nl</t>
  </si>
  <si>
    <t>Hooizolder 6</t>
  </si>
  <si>
    <t>0078</t>
  </si>
  <si>
    <t>E.C. Koornneef</t>
  </si>
  <si>
    <t>info@hollandhuisvesting.nl</t>
  </si>
  <si>
    <t>Hugo de Grootstraat 72A&amp;B</t>
  </si>
  <si>
    <t>0147</t>
  </si>
  <si>
    <t>E.C. Laus</t>
  </si>
  <si>
    <t>Industriestraat 9</t>
  </si>
  <si>
    <t>0391</t>
  </si>
  <si>
    <t>E.C. Laus / K. van Elk Landsteinerhof</t>
  </si>
  <si>
    <t>eva_laus@hotmail.com</t>
  </si>
  <si>
    <t>Inundatiestraat 3</t>
  </si>
  <si>
    <t>0039</t>
  </si>
  <si>
    <t>EDY COM B.V.</t>
  </si>
  <si>
    <t>office@edycom.rom</t>
  </si>
  <si>
    <t>Jasmijnring 37</t>
  </si>
  <si>
    <t>0087</t>
  </si>
  <si>
    <t>EG Facility &amp; Services BV</t>
  </si>
  <si>
    <t>facturen@egfs.nl</t>
  </si>
  <si>
    <t>Johan Willen Frisostraat 36</t>
  </si>
  <si>
    <t>0146</t>
  </si>
  <si>
    <t>ERGO Construction doo</t>
  </si>
  <si>
    <t>ergo.const@gmail.com</t>
  </si>
  <si>
    <t>Kanaal van Steenenhoek Z.Z. 10</t>
  </si>
  <si>
    <t>0082</t>
  </si>
  <si>
    <t>EU Facility Services</t>
  </si>
  <si>
    <t>inkoopfacturen@houseofcovebo.nl</t>
  </si>
  <si>
    <t>Kastanjelaan 232</t>
  </si>
  <si>
    <t>0159</t>
  </si>
  <si>
    <t>EWLIT Sp.Z.O.O.SP.K</t>
  </si>
  <si>
    <t>Michal.wierzchowski@ewl.com.pl</t>
  </si>
  <si>
    <t>Kerkdreef 42</t>
  </si>
  <si>
    <t>0084</t>
  </si>
  <si>
    <t>Eastmen Human Resources B.V.</t>
  </si>
  <si>
    <t>facturen@eastmen.eu</t>
  </si>
  <si>
    <t>Kerkweg 9a [huis 135]</t>
  </si>
  <si>
    <t>0308</t>
  </si>
  <si>
    <t>Easyjob People</t>
  </si>
  <si>
    <t>administratie@easyjobpeople.nl</t>
  </si>
  <si>
    <t>Kerkweg 9a [huis 137]</t>
  </si>
  <si>
    <t>0309</t>
  </si>
  <si>
    <t>Edy Comert BV</t>
  </si>
  <si>
    <t>office@edycom.ro</t>
  </si>
  <si>
    <t>Kerkweg 9a [huis 210]</t>
  </si>
  <si>
    <t>0310</t>
  </si>
  <si>
    <t>Edy Comert SRL</t>
  </si>
  <si>
    <t>Kerkweg 9a [huis 269]</t>
  </si>
  <si>
    <t>0311</t>
  </si>
  <si>
    <t>Eemsdelta Housing B.V.</t>
  </si>
  <si>
    <t>facturen@eemsdelta-housing.nl</t>
  </si>
  <si>
    <t>Kerkweg 9a [huis 333]</t>
  </si>
  <si>
    <t>0312</t>
  </si>
  <si>
    <t>Eizema Heerenveen Vastgoed b.v.</t>
  </si>
  <si>
    <t>administratie@eizema-vastgoed.nl</t>
  </si>
  <si>
    <t>Kerkweg 9a [huis 334]</t>
  </si>
  <si>
    <t>0313</t>
  </si>
  <si>
    <t>Employ Facilitair B.V.</t>
  </si>
  <si>
    <t>facilitair@employ.nl</t>
  </si>
  <si>
    <t>Kerkweg 9a [huis 338]</t>
  </si>
  <si>
    <t>0314</t>
  </si>
  <si>
    <t>Estra Logistics Systems B.V.</t>
  </si>
  <si>
    <t>finance@cruisr.nl</t>
  </si>
  <si>
    <t>Kerkweg 9a [huis 340]</t>
  </si>
  <si>
    <t>0332</t>
  </si>
  <si>
    <t>Euromontur Asemblies SL.</t>
  </si>
  <si>
    <t>ana.gomez@euromontur.net</t>
  </si>
  <si>
    <t>Kerkweg 9a [huis 342]</t>
  </si>
  <si>
    <t>0315</t>
  </si>
  <si>
    <t>Europe-jobs B.V.</t>
  </si>
  <si>
    <t>info@europe-jobs.nl</t>
  </si>
  <si>
    <t>Kerkweg 9a [huis 346]</t>
  </si>
  <si>
    <t>0316</t>
  </si>
  <si>
    <t>European Business Brokers</t>
  </si>
  <si>
    <t>daniel@reppz.com</t>
  </si>
  <si>
    <t>Kerkweg 9a [huis 347]</t>
  </si>
  <si>
    <t>0317</t>
  </si>
  <si>
    <t>F. Veurink en P. Neleman</t>
  </si>
  <si>
    <t>Kerkweg 9a [huis 348]</t>
  </si>
  <si>
    <t>0338</t>
  </si>
  <si>
    <t>FGM Solar Renewable S.R.L.</t>
  </si>
  <si>
    <t>edeny2002@gmail.com</t>
  </si>
  <si>
    <t>Kerkweg 9a [huis 349]</t>
  </si>
  <si>
    <t>0318</t>
  </si>
  <si>
    <t>FISSH B.V.</t>
  </si>
  <si>
    <t>administratie@fissh.nl</t>
  </si>
  <si>
    <t>Kerkweg 9a [huis 356]</t>
  </si>
  <si>
    <t>0319</t>
  </si>
  <si>
    <t>Facili Flex BV</t>
  </si>
  <si>
    <t>invoice@ifj.nl</t>
  </si>
  <si>
    <t>Kerkweg 9a [huis 357]</t>
  </si>
  <si>
    <t>0339</t>
  </si>
  <si>
    <t>Fam. Derwig</t>
  </si>
  <si>
    <t>hans.derwig@dunlopcb.com</t>
  </si>
  <si>
    <t>Kerkweg 9a [huis 359]</t>
  </si>
  <si>
    <t>0320</t>
  </si>
  <si>
    <t>Fareon Z Nederland</t>
  </si>
  <si>
    <t>nancy@fareon.nl</t>
  </si>
  <si>
    <t>Kerkweg 9a [huis 453]</t>
  </si>
  <si>
    <t>0321</t>
  </si>
  <si>
    <t>Fasttravel Taxi</t>
  </si>
  <si>
    <t>iacovachem@gmail.com</t>
  </si>
  <si>
    <t>Kerkwervesingel 127</t>
  </si>
  <si>
    <t>0225</t>
  </si>
  <si>
    <t>Feel Flex B.V.</t>
  </si>
  <si>
    <t>factuur@feelflex.nl</t>
  </si>
  <si>
    <t>Kerstendijk 125</t>
  </si>
  <si>
    <t>0199</t>
  </si>
  <si>
    <t>Finest Housing B.V.</t>
  </si>
  <si>
    <t>backoffice@finesthousing.nl</t>
  </si>
  <si>
    <t>Kethelweg 1B</t>
  </si>
  <si>
    <t>0010</t>
  </si>
  <si>
    <t>Finishing De Luxe GmbH</t>
  </si>
  <si>
    <t>katja.korotchenko@finishing-deluxe.com</t>
  </si>
  <si>
    <t>Kethelweg 1C</t>
  </si>
  <si>
    <t>0011</t>
  </si>
  <si>
    <t>Finishing De Luxe Gmbh</t>
  </si>
  <si>
    <t>Kethelweg 66A</t>
  </si>
  <si>
    <t>0088</t>
  </si>
  <si>
    <t>Fix Personeelsdiensten</t>
  </si>
  <si>
    <t>admin@teamfix.nl</t>
  </si>
  <si>
    <t>Kethelweg 66B</t>
  </si>
  <si>
    <t>0122</t>
  </si>
  <si>
    <t>Flex House Renting B.V.</t>
  </si>
  <si>
    <t>e.ozel@interimjobs.nl</t>
  </si>
  <si>
    <t>Kethelweg 66C</t>
  </si>
  <si>
    <t>0033</t>
  </si>
  <si>
    <t>Flex Pons B.V.</t>
  </si>
  <si>
    <t>f.tuncer@flexpons.nl</t>
  </si>
  <si>
    <t>Kethelweg 66D</t>
  </si>
  <si>
    <t>0333</t>
  </si>
  <si>
    <t>FlexState B.V.</t>
  </si>
  <si>
    <t>customer-success@hiway-mail.com</t>
  </si>
  <si>
    <t>Kethelweg 68A</t>
  </si>
  <si>
    <t>0034</t>
  </si>
  <si>
    <t>Flexbo B.V.</t>
  </si>
  <si>
    <t>info@flexbo.nl</t>
  </si>
  <si>
    <t>Kierkegaardhof 54</t>
  </si>
  <si>
    <t>0085</t>
  </si>
  <si>
    <t>Flexcraft SSC BV</t>
  </si>
  <si>
    <t>huisvesting@flexcraft.eu</t>
  </si>
  <si>
    <t>Kimbrenoord 15</t>
  </si>
  <si>
    <t>0202</t>
  </si>
  <si>
    <t>Flextalent4u Uitzenden B.V.</t>
  </si>
  <si>
    <t>administratie@flextalent4u.nl</t>
  </si>
  <si>
    <t>Kimbrenoord 49</t>
  </si>
  <si>
    <t>0359</t>
  </si>
  <si>
    <t>Flexvesting B.V.</t>
  </si>
  <si>
    <t>administratie@flexvesting.com</t>
  </si>
  <si>
    <t>Kleine Beer 60</t>
  </si>
  <si>
    <t>0086</t>
  </si>
  <si>
    <t>Flowerhill B.V.</t>
  </si>
  <si>
    <t>jb.heuvel@quicknet.nl</t>
  </si>
  <si>
    <t>Koningin Julianastraat 27</t>
  </si>
  <si>
    <t>0119</t>
  </si>
  <si>
    <t>Focuzop-eu</t>
  </si>
  <si>
    <t>administratie@focuzop-eu.com</t>
  </si>
  <si>
    <t>Korte Singelstraat 21-2</t>
  </si>
  <si>
    <t>0126</t>
  </si>
  <si>
    <t>Fryslân Homes</t>
  </si>
  <si>
    <t>backoffice@fryslanhomes.frl</t>
  </si>
  <si>
    <t>Korte Singelstraat 21-3</t>
  </si>
  <si>
    <t>0125</t>
  </si>
  <si>
    <t>Furniture Lease</t>
  </si>
  <si>
    <t>Kruiningenstraat 152</t>
  </si>
  <si>
    <t>0206</t>
  </si>
  <si>
    <t>G.D. Dijkstra</t>
  </si>
  <si>
    <t>info@wijzerinwonen.nl</t>
  </si>
  <si>
    <t>Kruiningenstraat 185</t>
  </si>
  <si>
    <t>0360</t>
  </si>
  <si>
    <t>G.K. Stoel</t>
  </si>
  <si>
    <t>rolfstoel@hotmail.com</t>
  </si>
  <si>
    <t>Kruisweg 16</t>
  </si>
  <si>
    <t>0337</t>
  </si>
  <si>
    <t>GAP Costruzioni S.r.l.</t>
  </si>
  <si>
    <t>invoice@gapcostruzioni.it</t>
  </si>
  <si>
    <t xml:space="preserve">Kwekerslaan 7 </t>
  </si>
  <si>
    <t>0382</t>
  </si>
  <si>
    <t>GMC KOVI Global Metal Construction</t>
  </si>
  <si>
    <t>emina.dzelilovic@gmcgroup.ba</t>
  </si>
  <si>
    <t>Laan op zuid 949</t>
  </si>
  <si>
    <t>0365</t>
  </si>
  <si>
    <t>GOTI Verhuur B.V.</t>
  </si>
  <si>
    <t>info@gotiverhuur.nl</t>
  </si>
  <si>
    <t>Laan van Nieuw Blankenburg 278</t>
  </si>
  <si>
    <t>0090</t>
  </si>
  <si>
    <t>GSI B.V.</t>
  </si>
  <si>
    <t>maurice@teamwanted.nl</t>
  </si>
  <si>
    <t>Laan van Nieuw Blankenburg 328</t>
  </si>
  <si>
    <t>0185</t>
  </si>
  <si>
    <t>Gap Costruzioni Dutch Branch</t>
  </si>
  <si>
    <t>Landsteinerhof 68</t>
  </si>
  <si>
    <t>0091</t>
  </si>
  <si>
    <t>Gastvrijaanzee.nl</t>
  </si>
  <si>
    <t>rekening@getstay.nl</t>
  </si>
  <si>
    <t>Lange Brink 3</t>
  </si>
  <si>
    <t>0092</t>
  </si>
  <si>
    <t>Gemeente Waadhoeke</t>
  </si>
  <si>
    <t>info@waadhoeke.nl</t>
  </si>
  <si>
    <t>Lange kruisweg 12</t>
  </si>
  <si>
    <t>0028</t>
  </si>
  <si>
    <t>Global Accomodation Solutions (Incassobureau)</t>
  </si>
  <si>
    <t>info@globalaccommodation.solutions</t>
  </si>
  <si>
    <t>Lavendelpad 6</t>
  </si>
  <si>
    <t>0385</t>
  </si>
  <si>
    <t>Global Expatriate Services SL</t>
  </si>
  <si>
    <t>lodewijk@globexs.com</t>
  </si>
  <si>
    <t>Lekdijk 14</t>
  </si>
  <si>
    <t>0366</t>
  </si>
  <si>
    <t>Gridin's Group LT</t>
  </si>
  <si>
    <t>a.kozlova@gridins.com</t>
  </si>
  <si>
    <t>Madeliefstraat 46C</t>
  </si>
  <si>
    <t>0029</t>
  </si>
  <si>
    <t>Groene Hart Service Detachering B.V.</t>
  </si>
  <si>
    <t>facturatie@groenehartservice.nl</t>
  </si>
  <si>
    <t>Marathonlaan 26</t>
  </si>
  <si>
    <t>0118</t>
  </si>
  <si>
    <t>H. Molla Farajzadeh</t>
  </si>
  <si>
    <t>habibmf@2ops.nl</t>
  </si>
  <si>
    <t>Marnixstraat 32</t>
  </si>
  <si>
    <t>0323</t>
  </si>
  <si>
    <t>H. van den Berg</t>
  </si>
  <si>
    <t>martijnbergvanden@gmail.com</t>
  </si>
  <si>
    <t>Mathenesserdijk 261 C03</t>
  </si>
  <si>
    <t>0184</t>
  </si>
  <si>
    <t>H.A. Samsom &amp; M.E.P. Knaap</t>
  </si>
  <si>
    <t>office@inmotionvastgoed.nl</t>
  </si>
  <si>
    <t>Meester G. Groen van Prinsterlaan 313</t>
  </si>
  <si>
    <t>0018</t>
  </si>
  <si>
    <t>H.C. van Os - Remeeus</t>
  </si>
  <si>
    <t>marcel@cohousingnederland.nl</t>
  </si>
  <si>
    <t>Melis Stokezijde 94</t>
  </si>
  <si>
    <t>0098</t>
  </si>
  <si>
    <t>H.T.C. Facility Services B.V.</t>
  </si>
  <si>
    <t>inkoop@htcfacilityservices.nl</t>
  </si>
  <si>
    <t>Messchaertplein 39</t>
  </si>
  <si>
    <t>0035</t>
  </si>
  <si>
    <t>HBBwonen.nu B.V.</t>
  </si>
  <si>
    <t>info@hbbwonen.nu</t>
  </si>
  <si>
    <t>Messchaertplein 40</t>
  </si>
  <si>
    <t>0036</t>
  </si>
  <si>
    <t>HJC Service</t>
  </si>
  <si>
    <t>benhanan010@gmail.com</t>
  </si>
  <si>
    <t>Middenbaan Noord 18A</t>
  </si>
  <si>
    <t>0251</t>
  </si>
  <si>
    <t>Habroko B.V.</t>
  </si>
  <si>
    <t>fdenbroeder@upcmail.nl</t>
  </si>
  <si>
    <t xml:space="preserve">Middenbaan Noord 18B </t>
  </si>
  <si>
    <t>0252</t>
  </si>
  <si>
    <t>Head Vastgoed B.V.</t>
  </si>
  <si>
    <t>administratie@headstaffing.nl</t>
  </si>
  <si>
    <t>Middenbaan Noord 18C</t>
  </si>
  <si>
    <t>0253</t>
  </si>
  <si>
    <t>Heijdra Dhr. H.M.</t>
  </si>
  <si>
    <t>h.heijdra@outlook.com</t>
  </si>
  <si>
    <t>Middenbaan Noord 20A</t>
  </si>
  <si>
    <t>0254</t>
  </si>
  <si>
    <t>Hiltermann Lease B.V.</t>
  </si>
  <si>
    <t>Middenbaan Noord 20B</t>
  </si>
  <si>
    <t>0255</t>
  </si>
  <si>
    <t>Hiway Operational Company B.V.</t>
  </si>
  <si>
    <t>lea@alphaworkforce.net</t>
  </si>
  <si>
    <t>Middenbaan Noord 20C</t>
  </si>
  <si>
    <t>0256</t>
  </si>
  <si>
    <t>Holland Chalet Park</t>
  </si>
  <si>
    <t>Receptie@hollandchaletpark.nl</t>
  </si>
  <si>
    <t>Middenbaan Noord 22A</t>
  </si>
  <si>
    <t>0257</t>
  </si>
  <si>
    <t>Homekeur B.V.</t>
  </si>
  <si>
    <t>Middenbaan Noord 22B</t>
  </si>
  <si>
    <t>0258</t>
  </si>
  <si>
    <t>Homescout21 B.V.</t>
  </si>
  <si>
    <t>rene@homescout21.com</t>
  </si>
  <si>
    <t xml:space="preserve">Middenbaan Noord 22C </t>
  </si>
  <si>
    <t>0259</t>
  </si>
  <si>
    <t>Horus Team Sp. Z.o.o.</t>
  </si>
  <si>
    <t>administration@horusteam.net</t>
  </si>
  <si>
    <t>Molendijk 4</t>
  </si>
  <si>
    <t>0076</t>
  </si>
  <si>
    <t>Houses2Rent</t>
  </si>
  <si>
    <t>info@houses2rent.nl</t>
  </si>
  <si>
    <t>Molenweg 135</t>
  </si>
  <si>
    <t>0100</t>
  </si>
  <si>
    <t>Housing en Transport Facilities B.V.</t>
  </si>
  <si>
    <t>Moureauveld 8</t>
  </si>
  <si>
    <t>0101</t>
  </si>
  <si>
    <t>HousingWell B.V.</t>
  </si>
  <si>
    <t>info@housingwell.nl</t>
  </si>
  <si>
    <t>Mr. Troelstrastraat 37</t>
  </si>
  <si>
    <t>0020</t>
  </si>
  <si>
    <t>Houvast Estates B.V.</t>
  </si>
  <si>
    <t>hershihoffman22@gmail.com</t>
  </si>
  <si>
    <t>Narcissenstraat 23</t>
  </si>
  <si>
    <t>0103</t>
  </si>
  <si>
    <t>Hugo Vastgoed B.V.</t>
  </si>
  <si>
    <t>info@centrumvastgoed.nl</t>
  </si>
  <si>
    <t>Narcissenstraat 37</t>
  </si>
  <si>
    <t>0104</t>
  </si>
  <si>
    <t>I.I. Bhaggoe</t>
  </si>
  <si>
    <t>Narcissenstraat 9</t>
  </si>
  <si>
    <t>0102</t>
  </si>
  <si>
    <t>I.T.S. SR.L. (INDUSTRIAL TECHNICAL SERVICES), BRAN</t>
  </si>
  <si>
    <t>salvotringali@hotmail.it , dballotta@itsservices.it</t>
  </si>
  <si>
    <t>Nieuwenhoornstraat 46B</t>
  </si>
  <si>
    <t>0046</t>
  </si>
  <si>
    <t>IC Idea Complex Sp. Z.o.o.</t>
  </si>
  <si>
    <t>invoice@ideacomplex.eu</t>
  </si>
  <si>
    <t>Nieuwkerkstraat 78</t>
  </si>
  <si>
    <t>0166</t>
  </si>
  <si>
    <t>ICS Impianti S.R.L.</t>
  </si>
  <si>
    <t>info@icsimpiantisrl.com</t>
  </si>
  <si>
    <t>Noordmolenstraat 36A</t>
  </si>
  <si>
    <t>0328</t>
  </si>
  <si>
    <t>IFC B.V.</t>
  </si>
  <si>
    <t>administratie@ifc.nl</t>
  </si>
  <si>
    <t>Noordmolenstraat 36B</t>
  </si>
  <si>
    <t>0329</t>
  </si>
  <si>
    <t>IPS Industrial Plant Solutions Kft.</t>
  </si>
  <si>
    <t>loretta.hanoder@ipsolutions.hu</t>
  </si>
  <si>
    <t>Noordmolenstraat 36C</t>
  </si>
  <si>
    <t>0330</t>
  </si>
  <si>
    <t>Impes Service S.p.A.</t>
  </si>
  <si>
    <t>fatture.olanda@impesservice.it, Nicola.pisani@impesservice.it</t>
  </si>
  <si>
    <t>Nunspeetlaan 14</t>
  </si>
  <si>
    <t>0001</t>
  </si>
  <si>
    <t>Impianti Industriala S.P.A. NEDERLAND BRANCH</t>
  </si>
  <si>
    <t>vendors@sitie.it</t>
  </si>
  <si>
    <t>Nunspeetlaan 53</t>
  </si>
  <si>
    <t>0041</t>
  </si>
  <si>
    <t>In Stijl Totaalbouw BV</t>
  </si>
  <si>
    <t>info@instijltotaalbouw.nl</t>
  </si>
  <si>
    <t>Ofwegen 1A</t>
  </si>
  <si>
    <t>0336</t>
  </si>
  <si>
    <t>InAxtion Vastgoed B.V.</t>
  </si>
  <si>
    <t>Invoice.vastgoed@inaxtion.com</t>
  </si>
  <si>
    <t>Opaal 9</t>
  </si>
  <si>
    <t>0110</t>
  </si>
  <si>
    <t>Interim Jobs B.V.</t>
  </si>
  <si>
    <t>Oranjestraat 63</t>
  </si>
  <si>
    <t>0369</t>
  </si>
  <si>
    <t>Interwel Oost B.V.</t>
  </si>
  <si>
    <t>facturen@interwel.nl</t>
  </si>
  <si>
    <t>Oudewerfslaan 84</t>
  </si>
  <si>
    <t>0112</t>
  </si>
  <si>
    <t>I–Housing Vastgoed Beheer B.V.</t>
  </si>
  <si>
    <t>administratie@i-housingvastgoedbeheer.nl</t>
  </si>
  <si>
    <t>Parallelweg 110A</t>
  </si>
  <si>
    <t>0042</t>
  </si>
  <si>
    <t>J. Hermans</t>
  </si>
  <si>
    <t>frankjolanda@online.nl</t>
  </si>
  <si>
    <t>Parallelweg 114C</t>
  </si>
  <si>
    <t>0380</t>
  </si>
  <si>
    <t>J. Hogervorst</t>
  </si>
  <si>
    <t>jan@hoger.demon.nl</t>
  </si>
  <si>
    <t>Parallelweg 134B</t>
  </si>
  <si>
    <t>0381</t>
  </si>
  <si>
    <t>J. J. van Veen</t>
  </si>
  <si>
    <t>jack@obend.nl</t>
  </si>
  <si>
    <t>Pastoor Gilisstraat 81-A</t>
  </si>
  <si>
    <t>0344</t>
  </si>
  <si>
    <t>J. Kuipers</t>
  </si>
  <si>
    <t>kuipers.jordi@gmail.com</t>
  </si>
  <si>
    <t>Patrijsstraat 39</t>
  </si>
  <si>
    <t>0081</t>
  </si>
  <si>
    <t>J. Luijsterburg</t>
  </si>
  <si>
    <t>j.luijsterburg@planet.nl</t>
  </si>
  <si>
    <t>Persoonsdam 176</t>
  </si>
  <si>
    <t>0260</t>
  </si>
  <si>
    <t>J. van Heeswijk</t>
  </si>
  <si>
    <t>Persoonsdam 177</t>
  </si>
  <si>
    <t>0261</t>
  </si>
  <si>
    <t>J.D. Jongsma</t>
  </si>
  <si>
    <t>jand.jongsma@icloud.com</t>
  </si>
  <si>
    <t>Persoonsdam 178</t>
  </si>
  <si>
    <t>0262</t>
  </si>
  <si>
    <t>JC Kemp</t>
  </si>
  <si>
    <t>Persoonsdam 179</t>
  </si>
  <si>
    <t>0263</t>
  </si>
  <si>
    <t>JES Funding &amp; Beheer B.V.</t>
  </si>
  <si>
    <t>info@jesbeheer.com</t>
  </si>
  <si>
    <t>Persoonsdam 180</t>
  </si>
  <si>
    <t>0264</t>
  </si>
  <si>
    <t>JJM Personeel B.V.</t>
  </si>
  <si>
    <t>Facturen@jjmpersoneel.nl</t>
  </si>
  <si>
    <t>Persoonsdam 181</t>
  </si>
  <si>
    <t>0265</t>
  </si>
  <si>
    <t>JPJ Stoel</t>
  </si>
  <si>
    <t>jpstoel@gmail.com</t>
  </si>
  <si>
    <t>Persoonsdam 182</t>
  </si>
  <si>
    <t>0266</t>
  </si>
  <si>
    <t>JT Glazenwasserij en Schoonmaakdiensten</t>
  </si>
  <si>
    <t>info@jtschoonmaak.nl</t>
  </si>
  <si>
    <t>Persoonsdam 194</t>
  </si>
  <si>
    <t>0267</t>
  </si>
  <si>
    <t>Jacco Maat</t>
  </si>
  <si>
    <t>jacco@jtvastgoed.nl</t>
  </si>
  <si>
    <t>Persoonsdam 196</t>
  </si>
  <si>
    <t>0349</t>
  </si>
  <si>
    <t>Jan Luijsterburg Beheer B.V.</t>
  </si>
  <si>
    <t>Persoonsdam 198</t>
  </si>
  <si>
    <t>0268</t>
  </si>
  <si>
    <t>Johan van der Burg</t>
  </si>
  <si>
    <t>johanvanderburg87@gmail.com</t>
  </si>
  <si>
    <t>Peursumseweg 119A</t>
  </si>
  <si>
    <t>0113</t>
  </si>
  <si>
    <t>Jong de SAW Dhr</t>
  </si>
  <si>
    <t>jcdejong@aol.nl</t>
  </si>
  <si>
    <t>Piersonstraat 8</t>
  </si>
  <si>
    <t>0114</t>
  </si>
  <si>
    <t>Joost de Jong Holding B.V.</t>
  </si>
  <si>
    <t>Plaats 10</t>
  </si>
  <si>
    <t>0120</t>
  </si>
  <si>
    <t>Joyce Bakker Advies</t>
  </si>
  <si>
    <t>joyce@joycebakker.nl</t>
  </si>
  <si>
    <t>Platostraat 80</t>
  </si>
  <si>
    <t>0231</t>
  </si>
  <si>
    <t>K-Power Netherlands Kft</t>
  </si>
  <si>
    <t>Pleinweg 101a</t>
  </si>
  <si>
    <t>0044</t>
  </si>
  <si>
    <t>KODE Staffhousing B.V.</t>
  </si>
  <si>
    <t>administratie@kodere.nl</t>
  </si>
  <si>
    <t>Pleinweg 101b</t>
  </si>
  <si>
    <t>0045</t>
  </si>
  <si>
    <t>Kadaster</t>
  </si>
  <si>
    <t>Ploegstraat 2a</t>
  </si>
  <si>
    <t>0079</t>
  </si>
  <si>
    <t>Kajuit</t>
  </si>
  <si>
    <t>info@kajuitbv.nl</t>
  </si>
  <si>
    <t>Poolsestraat 29a</t>
  </si>
  <si>
    <t>0386</t>
  </si>
  <si>
    <t>Kapitan Workers Sp. Z.o.o.</t>
  </si>
  <si>
    <t>kapitanworkers@outlook.com</t>
  </si>
  <si>
    <t>Poppestraat 59</t>
  </si>
  <si>
    <t>0115</t>
  </si>
  <si>
    <t>Kapitein &amp; Personeel B.V</t>
  </si>
  <si>
    <t>klaas@kapiteinpersoneel.nl</t>
  </si>
  <si>
    <t>Professor Kamerlingh Onneslaan 134A</t>
  </si>
  <si>
    <t>0269</t>
  </si>
  <si>
    <t>Karadeniz Diensten</t>
  </si>
  <si>
    <t>info@karadenizdiensten.nl</t>
  </si>
  <si>
    <t>Professor Kamerlingh Onneslaan 134B1</t>
  </si>
  <si>
    <t>0270</t>
  </si>
  <si>
    <t>Key4work B.V.</t>
  </si>
  <si>
    <t>facturen@key4work.com</t>
  </si>
  <si>
    <t>Professor Kamerlingh Onneslaan 134B2</t>
  </si>
  <si>
    <t>0271</t>
  </si>
  <si>
    <t>Keypro B.V.</t>
  </si>
  <si>
    <t>Professor Kamerlingh Onneslaan 134B3</t>
  </si>
  <si>
    <t>0272</t>
  </si>
  <si>
    <t>Kiose Yacht Finishing</t>
  </si>
  <si>
    <t>metinkiose@yahoo.co.uk</t>
  </si>
  <si>
    <t>Professor Poelslaan 58C</t>
  </si>
  <si>
    <t>0340</t>
  </si>
  <si>
    <t>Kleijweg projects</t>
  </si>
  <si>
    <t>Info@kleijweginvestments.nl</t>
  </si>
  <si>
    <t>Prunuslaan 36</t>
  </si>
  <si>
    <t>0117</t>
  </si>
  <si>
    <t>Koens T. Dhr.</t>
  </si>
  <si>
    <t>tommykoens@gmail.com</t>
  </si>
  <si>
    <t>Punter 22 34</t>
  </si>
  <si>
    <t>0204</t>
  </si>
  <si>
    <t>Kwekerij Stef Kleijweg</t>
  </si>
  <si>
    <t>Stefkleijweg@gmail.com</t>
  </si>
  <si>
    <t>Putsebocht 136 B01</t>
  </si>
  <si>
    <t>0361</t>
  </si>
  <si>
    <t>L. Keizer</t>
  </si>
  <si>
    <t>leendertkeizer@hotmail.com</t>
  </si>
  <si>
    <t>Ringbaan Oost 327</t>
  </si>
  <si>
    <t>0005</t>
  </si>
  <si>
    <t>L.M. Schilstra</t>
  </si>
  <si>
    <t>Rivierdijk 793</t>
  </si>
  <si>
    <t>0226</t>
  </si>
  <si>
    <t>LZ Auto- en Motorservice B.V.</t>
  </si>
  <si>
    <t>lz@lzautoservice.nl</t>
  </si>
  <si>
    <t>Rivierdijk 794</t>
  </si>
  <si>
    <t>0121</t>
  </si>
  <si>
    <t>Labour Housing BV</t>
  </si>
  <si>
    <t>crediteuren@ottoworkforce.eu</t>
  </si>
  <si>
    <t>Rooseveltlaan 185</t>
  </si>
  <si>
    <t>0179</t>
  </si>
  <si>
    <t>Lago Personeelshuisvesting B.V.</t>
  </si>
  <si>
    <t>facturen@lagopersoneelshuisvesting.nl</t>
  </si>
  <si>
    <t>Rubensplein 6B3</t>
  </si>
  <si>
    <t>0154</t>
  </si>
  <si>
    <t>Langweer Vastgoed B.V.</t>
  </si>
  <si>
    <t>jan@wassenaarvastgoed.nl</t>
  </si>
  <si>
    <t>Ruigenhoek 69</t>
  </si>
  <si>
    <t>0362</t>
  </si>
  <si>
    <t>Leen Bakker Nederland B.V.</t>
  </si>
  <si>
    <t>Scheepjesbrug 433</t>
  </si>
  <si>
    <t>0144</t>
  </si>
  <si>
    <t>Level 5 Assetmanagement B.V.</t>
  </si>
  <si>
    <t>Scheepjesbrug 814</t>
  </si>
  <si>
    <t>0197</t>
  </si>
  <si>
    <t>Light Personeelsdiensten BV</t>
  </si>
  <si>
    <t>facturen@lightpersoneelsdiensten.nl</t>
  </si>
  <si>
    <t>Schoonegge 110</t>
  </si>
  <si>
    <t>0239</t>
  </si>
  <si>
    <t>Lilit Home Makelaardij</t>
  </si>
  <si>
    <t>info@lilithome.nl</t>
  </si>
  <si>
    <t>Sint Josephstraat 61</t>
  </si>
  <si>
    <t>0050</t>
  </si>
  <si>
    <t>Lion Trading</t>
  </si>
  <si>
    <t>i.asadi@liontrading.nl</t>
  </si>
  <si>
    <t>Snecanusstraat 12</t>
  </si>
  <si>
    <t>0123</t>
  </si>
  <si>
    <t>LogIQ Barendrecht B.V.</t>
  </si>
  <si>
    <t>facturen0180@logiq.nl</t>
  </si>
  <si>
    <t>Snoekenveen 242</t>
  </si>
  <si>
    <t>0124</t>
  </si>
  <si>
    <t>Looije Facilities B.V.</t>
  </si>
  <si>
    <t>Factuur@nwg.nl</t>
  </si>
  <si>
    <t>Stal 355</t>
  </si>
  <si>
    <t>0200</t>
  </si>
  <si>
    <t>M van den Berg e/o H van den Berg</t>
  </si>
  <si>
    <t>Steenen Dijck 87</t>
  </si>
  <si>
    <t>0099</t>
  </si>
  <si>
    <t>M. Poel</t>
  </si>
  <si>
    <t>monique_pruijsen@hotmail.com</t>
  </si>
  <si>
    <t>Struitenweg 19b</t>
  </si>
  <si>
    <t>0127</t>
  </si>
  <si>
    <t>M.A. Pronk</t>
  </si>
  <si>
    <t>mp64@hotmail.com</t>
  </si>
  <si>
    <t>Tesselschadelaan 45</t>
  </si>
  <si>
    <t>0128</t>
  </si>
  <si>
    <t>M.C. Claassen</t>
  </si>
  <si>
    <t>mcc.2006@hotmail.com</t>
  </si>
  <si>
    <t>Teststraat 1</t>
  </si>
  <si>
    <t>9999</t>
  </si>
  <si>
    <t>M.J. van Os</t>
  </si>
  <si>
    <t>marcelvanos0@gmail.com</t>
  </si>
  <si>
    <t>Teststraat 6370</t>
  </si>
  <si>
    <t>6370</t>
  </si>
  <si>
    <t>M@tchm@kers International B.V.</t>
  </si>
  <si>
    <t>hello@matchmakers.nu</t>
  </si>
  <si>
    <t>Teststraat 9489</t>
  </si>
  <si>
    <t>9489</t>
  </si>
  <si>
    <t>MB Kewal</t>
  </si>
  <si>
    <t>mireldak@hotmail.com</t>
  </si>
  <si>
    <t>Tholenstraat 114</t>
  </si>
  <si>
    <t>0249</t>
  </si>
  <si>
    <t>MBS Services B.V.</t>
  </si>
  <si>
    <t>info@mbs-services.nl</t>
  </si>
  <si>
    <t xml:space="preserve">Utrechtse straatweg 7 </t>
  </si>
  <si>
    <t>0129</t>
  </si>
  <si>
    <t>MC Mostert prive</t>
  </si>
  <si>
    <t>arie@tradiro.nl</t>
  </si>
  <si>
    <t>Vaartweg 106C</t>
  </si>
  <si>
    <t>0021</t>
  </si>
  <si>
    <t>MDI Techniek B.V.</t>
  </si>
  <si>
    <t>wendy@mditechniek.nl</t>
  </si>
  <si>
    <t>Van Langedonckstraat 80</t>
  </si>
  <si>
    <t>0130</t>
  </si>
  <si>
    <t>MK Contracting BV</t>
  </si>
  <si>
    <t>info@mkcontracting.nl</t>
  </si>
  <si>
    <t>Van Maanenstraat 14A</t>
  </si>
  <si>
    <t>0089</t>
  </si>
  <si>
    <t>MNA Proud Facilities B.V.</t>
  </si>
  <si>
    <t>Recep@prokonak.nl</t>
  </si>
  <si>
    <t>Van Ruijsdaellaan 72A</t>
  </si>
  <si>
    <t>0347</t>
  </si>
  <si>
    <t>MPC Energy B.V.</t>
  </si>
  <si>
    <t>randolf@hollandhousing.work</t>
  </si>
  <si>
    <t>Van Ruijsdaellaan 72B</t>
  </si>
  <si>
    <t>0351</t>
  </si>
  <si>
    <t>Maatschap J.W. Meershoek &amp; W.M. Meershoek</t>
  </si>
  <si>
    <t>j.meershoek1@chello.nl</t>
  </si>
  <si>
    <t>Van Ruijsdaellaan 72C</t>
  </si>
  <si>
    <t>0352</t>
  </si>
  <si>
    <t>Maatschap Van Driel - Vd Vlist</t>
  </si>
  <si>
    <t>drielvlist@gmail.com</t>
  </si>
  <si>
    <t>Van Swinderenstraat 21</t>
  </si>
  <si>
    <t>0324</t>
  </si>
  <si>
    <t>Marco is Vastgoed B.V.</t>
  </si>
  <si>
    <t>marco@dewitteaap.nl</t>
  </si>
  <si>
    <t xml:space="preserve">Verschansing 21 </t>
  </si>
  <si>
    <t>0387</t>
  </si>
  <si>
    <t>Marco van Beek B.V.</t>
  </si>
  <si>
    <t>Vierambachtsstraat 32-B01</t>
  </si>
  <si>
    <t>0374</t>
  </si>
  <si>
    <t>Maria</t>
  </si>
  <si>
    <t>calinmariana@rambler.ru</t>
  </si>
  <si>
    <t>Visartstraat 31</t>
  </si>
  <si>
    <t>0158</t>
  </si>
  <si>
    <t>Marseille Bax Van Maanen Rotterdamse account.</t>
  </si>
  <si>
    <t>Vogelschorstraat 24</t>
  </si>
  <si>
    <t>0167</t>
  </si>
  <si>
    <t>Mavi Vastgoed</t>
  </si>
  <si>
    <t>invoice@mavivastgoed.nl</t>
  </si>
  <si>
    <t>Voorstraat 10</t>
  </si>
  <si>
    <t>0077</t>
  </si>
  <si>
    <t>Maytree Invest</t>
  </si>
  <si>
    <t>leon@maytreeme.nl</t>
  </si>
  <si>
    <t>Voorstraat 25</t>
  </si>
  <si>
    <t>0080</t>
  </si>
  <si>
    <t>Mediterranean Careers Netherlands B.V.</t>
  </si>
  <si>
    <t>finance@mcareers.eu</t>
  </si>
  <si>
    <t>Wedderweg 3A</t>
  </si>
  <si>
    <t>0368</t>
  </si>
  <si>
    <t>Meerdervoort Queda Real B.V.</t>
  </si>
  <si>
    <t>chris@L-5.nl</t>
  </si>
  <si>
    <t>Westercluft</t>
  </si>
  <si>
    <t>0138</t>
  </si>
  <si>
    <t>Milieu Service Brabant</t>
  </si>
  <si>
    <t>Westfrankelandsestraat 108B</t>
  </si>
  <si>
    <t>0038</t>
  </si>
  <si>
    <t>Mooswijk T.R. &amp; Plugers R.</t>
  </si>
  <si>
    <t>tvandemoosdijk@gmail.com</t>
  </si>
  <si>
    <t>Wieldraaierstraat 39</t>
  </si>
  <si>
    <t>0105</t>
  </si>
  <si>
    <t>Multiservizi Romania SRL</t>
  </si>
  <si>
    <t>amministrazionepythagoras@gmail.com</t>
  </si>
  <si>
    <t>Wijdstraat 13</t>
  </si>
  <si>
    <t>0171</t>
  </si>
  <si>
    <t>Multiserwis SP z o.o.</t>
  </si>
  <si>
    <t>karol.pastucha@bilfinger.com</t>
  </si>
  <si>
    <t>Wijngaard 66</t>
  </si>
  <si>
    <t>0212</t>
  </si>
  <si>
    <t>MvB Services</t>
  </si>
  <si>
    <t>driver@meindertvanbuuren.com</t>
  </si>
  <si>
    <t xml:space="preserve">Wilgensingel 63 </t>
  </si>
  <si>
    <t>0139</t>
  </si>
  <si>
    <t>Mw. J. Pelupessy - Dijkgraaf</t>
  </si>
  <si>
    <t>judithdijkgraaf@hotmail.com</t>
  </si>
  <si>
    <t>Wilgenstraat 37</t>
  </si>
  <si>
    <t>0140</t>
  </si>
  <si>
    <t>Mw. M. Hyllested Poulsen en Dhr. S. Crull</t>
  </si>
  <si>
    <t>maria-sander@outlook.com</t>
  </si>
  <si>
    <t>Wilhelmina Druckerstraat 68</t>
  </si>
  <si>
    <t>0142</t>
  </si>
  <si>
    <t>N2people B.V.</t>
  </si>
  <si>
    <t>invoice@n2people.nl</t>
  </si>
  <si>
    <t>Wilhelminastraat 8</t>
  </si>
  <si>
    <t>0141</t>
  </si>
  <si>
    <t>NL Realty B.V.</t>
  </si>
  <si>
    <t>administratie@nl-jobs.com</t>
  </si>
  <si>
    <t>Willem Lodewijkstraat 8</t>
  </si>
  <si>
    <t>0143</t>
  </si>
  <si>
    <t>Nerom Flex B.V.</t>
  </si>
  <si>
    <t>administratie@nerom-bv.nl</t>
  </si>
  <si>
    <t>Wouwbaan 230</t>
  </si>
  <si>
    <t>0145</t>
  </si>
  <si>
    <t>Nerom Industrial Flex B.V.</t>
  </si>
  <si>
    <t>info@nerom-industrial.nl</t>
  </si>
  <si>
    <t>Zuidhoek 209D</t>
  </si>
  <si>
    <t>0232</t>
  </si>
  <si>
    <t>O.J.P Soc Construções</t>
  </si>
  <si>
    <t>romeu.ferreira@ojp.pt</t>
  </si>
  <si>
    <t>Zwethkade Zuid 30A</t>
  </si>
  <si>
    <t>0376</t>
  </si>
  <si>
    <t>O.P.H. Verhuur B.V. / Eigenaar.nl</t>
  </si>
  <si>
    <t>info@eigenaar.nl</t>
  </si>
  <si>
    <t>van Scorelstraat 73</t>
  </si>
  <si>
    <t>0016</t>
  </si>
  <si>
    <t>O.Vasiutina</t>
  </si>
  <si>
    <t>olga.vasiutina@asml.com</t>
  </si>
  <si>
    <t>OGSS BV</t>
  </si>
  <si>
    <t>administratie@ooijkaas.nl</t>
  </si>
  <si>
    <t>OJP B.V.</t>
  </si>
  <si>
    <t>rita.guimaraes@ojp.pt</t>
  </si>
  <si>
    <t>Odido Netherlands</t>
  </si>
  <si>
    <t>Oostkracht Bemiddeling B.V.</t>
  </si>
  <si>
    <t>info@ok-groep.nl</t>
  </si>
  <si>
    <t>Optima Uitzendbureau B.V.</t>
  </si>
  <si>
    <t>Financieel@optimauitzendburo.nl</t>
  </si>
  <si>
    <t>Orange Investments Group B.V.</t>
  </si>
  <si>
    <t>crediteuren@peopledirekt.nl</t>
  </si>
  <si>
    <t>Oranjegroep Vastgoed B.V.</t>
  </si>
  <si>
    <t>inkoopfacturen@oranjegroepvastgoed.nl</t>
  </si>
  <si>
    <t>Oxrooms</t>
  </si>
  <si>
    <t>info@ox-rooms.nl</t>
  </si>
  <si>
    <t>P. Gryspeerdt</t>
  </si>
  <si>
    <t>P. Nederstigt</t>
  </si>
  <si>
    <t>p.nederstigt@casema.nl</t>
  </si>
  <si>
    <t>P. Ter Haar-Ros</t>
  </si>
  <si>
    <t>prkapper@gmail.com</t>
  </si>
  <si>
    <t>PMM Workforce Management Ltd</t>
  </si>
  <si>
    <t>d.soare@pmm-group.eu , accounting@pmm-group.eu</t>
  </si>
  <si>
    <t>PRP Solutions Flex Sp. Z.O.O</t>
  </si>
  <si>
    <t>costs@prpsolutions.eu</t>
  </si>
  <si>
    <t>Parkwonen</t>
  </si>
  <si>
    <t>info@parkwonen.nl</t>
  </si>
  <si>
    <t>People21 Services BV</t>
  </si>
  <si>
    <t>administratie@people21.eu</t>
  </si>
  <si>
    <t>PersoneelDirectFriesland</t>
  </si>
  <si>
    <t>info@personeeldirectfriesland.nl</t>
  </si>
  <si>
    <t>Plural Albufeira S.R.L.</t>
  </si>
  <si>
    <t>office@plural.ro</t>
  </si>
  <si>
    <t>Pol Flex B.V.</t>
  </si>
  <si>
    <t>administratie@polflexbv.nl</t>
  </si>
  <si>
    <t>Profectus Staffing Solutions</t>
  </si>
  <si>
    <t>u.tevkir@carriere.com</t>
  </si>
  <si>
    <t>Quality Home Rentals</t>
  </si>
  <si>
    <t>info@qualityhomerentals.nl</t>
  </si>
  <si>
    <t>R&amp;E Services</t>
  </si>
  <si>
    <t>administratie@rebv.nl</t>
  </si>
  <si>
    <t>R. Bassil</t>
  </si>
  <si>
    <t>rogerbassil@outlook.com</t>
  </si>
  <si>
    <t>RNDV Industries</t>
  </si>
  <si>
    <t>laura.brackiene@rndv.eu</t>
  </si>
  <si>
    <t>RNVD Industries</t>
  </si>
  <si>
    <t>Ras R.A. Dhr.</t>
  </si>
  <si>
    <t>ron.ras1999@outlook.com</t>
  </si>
  <si>
    <t>Reham Verhuur B.V.</t>
  </si>
  <si>
    <t>Resource One B.V.</t>
  </si>
  <si>
    <t>Robert L.P. de Jonge</t>
  </si>
  <si>
    <t>robertdejonge@ziggo.nl</t>
  </si>
  <si>
    <t>Royal DS Personeel-service</t>
  </si>
  <si>
    <t>m.langeveld@royalds.nl</t>
  </si>
  <si>
    <t>Ruva Vastgoed B.V.</t>
  </si>
  <si>
    <t>beheer@ruvavastgoed.nl</t>
  </si>
  <si>
    <t>RyanRent B.V.</t>
  </si>
  <si>
    <t>facturen@ryanrent.nl</t>
  </si>
  <si>
    <t>S Kleijweg</t>
  </si>
  <si>
    <t>S. Bakker OPH Verhuur</t>
  </si>
  <si>
    <t>S. Dolstra</t>
  </si>
  <si>
    <t>dolstra@yahoo.com</t>
  </si>
  <si>
    <t>S. Kleiren</t>
  </si>
  <si>
    <t>sabine.kleiren@gmail.com</t>
  </si>
  <si>
    <t>S. Marinus (zie 50200)</t>
  </si>
  <si>
    <t>S. Meijer</t>
  </si>
  <si>
    <t>siebmeijer@msn.com</t>
  </si>
  <si>
    <t>SHGJ Ribbink</t>
  </si>
  <si>
    <t>SHGJ.Ribbink@gmail.com</t>
  </si>
  <si>
    <t>SS Kara Yacht Painters LLP</t>
  </si>
  <si>
    <t>sskarayaght23@gmail.com</t>
  </si>
  <si>
    <t>STANA d.o.o.</t>
  </si>
  <si>
    <t>stana2@telemach.net</t>
  </si>
  <si>
    <t>Sagius Uitzenders B.V.</t>
  </si>
  <si>
    <t>facturen@sagiusuitzenders.nl</t>
  </si>
  <si>
    <t>Showtuin Nederland B.V.</t>
  </si>
  <si>
    <t>info@showtuinnederland.nl</t>
  </si>
  <si>
    <t>Shtan Vitaliy</t>
  </si>
  <si>
    <t>Vitalij.shtan@gmail.com</t>
  </si>
  <si>
    <t>Soul inn B.B B.V</t>
  </si>
  <si>
    <t>ed@edwinroos.com</t>
  </si>
  <si>
    <t>Space4U B.V.</t>
  </si>
  <si>
    <t>info@space4ubv.nl</t>
  </si>
  <si>
    <t>St. Zakelijke Beh.rek. Dijkstra Vastgoedbeh.</t>
  </si>
  <si>
    <t>Standaard Klant</t>
  </si>
  <si>
    <t>StayProjects Group Netherlands B.V.</t>
  </si>
  <si>
    <t>sametkaya@staysolutions.com</t>
  </si>
  <si>
    <t>Stichting Bewaring PRMD</t>
  </si>
  <si>
    <t>finance1@prmd.nl</t>
  </si>
  <si>
    <t>Suricare B.V.</t>
  </si>
  <si>
    <t>arie.degroot@carevisie.nl</t>
  </si>
  <si>
    <t>T. Hoolhorst</t>
  </si>
  <si>
    <t>t.hoolhorst@gmail.com</t>
  </si>
  <si>
    <t>T. van de Moosdijk</t>
  </si>
  <si>
    <t>T.A. Middelkoop</t>
  </si>
  <si>
    <t>tunny.10@hotmail.com</t>
  </si>
  <si>
    <t>T.A. van der Burg</t>
  </si>
  <si>
    <t>vanderburgron@gmail.com</t>
  </si>
  <si>
    <t>THS EU B.V.</t>
  </si>
  <si>
    <t>invoices@tecline.com</t>
  </si>
  <si>
    <t>TNM Vastgoed B.V.</t>
  </si>
  <si>
    <t>TOTAL Nederland N.V.</t>
  </si>
  <si>
    <t>Team Home Rentals B.V.</t>
  </si>
  <si>
    <t>administratie@teamhomerentals.nl</t>
  </si>
  <si>
    <t>Team Technical Services BV</t>
  </si>
  <si>
    <t>robert@team-ts.nl</t>
  </si>
  <si>
    <t>Team Unica B.V.</t>
  </si>
  <si>
    <t>facturen@teamunica.nl</t>
  </si>
  <si>
    <t>TecFlex B.V.</t>
  </si>
  <si>
    <t>jkoning@tecflex.nl</t>
  </si>
  <si>
    <t>Techvisie Personeelsdiensten Centraal B.V.</t>
  </si>
  <si>
    <t>facturen@techvisie.nl</t>
  </si>
  <si>
    <t>Tempsteel B.V.</t>
  </si>
  <si>
    <t>m.matelis@tempsteel.eu</t>
  </si>
  <si>
    <t>The Housing Guild B.V.</t>
  </si>
  <si>
    <t>r.nijboer@degildegroep.nl</t>
  </si>
  <si>
    <t>Thuisvesting B.V.</t>
  </si>
  <si>
    <t>facturen@thuisvesting.com</t>
  </si>
  <si>
    <t>Timing Uitzendteam BV</t>
  </si>
  <si>
    <t>inkoopfacturen@timing.nl</t>
  </si>
  <si>
    <t>Tradiro</t>
  </si>
  <si>
    <t>Tradiro Services B.V.</t>
  </si>
  <si>
    <t>facturen@tradiro.nl</t>
  </si>
  <si>
    <t>Tradiro Test</t>
  </si>
  <si>
    <t>Transport People B.V.</t>
  </si>
  <si>
    <t>facturenaalsmeer@transportpeople.nl</t>
  </si>
  <si>
    <t>Twins BV</t>
  </si>
  <si>
    <t>info@twinsbv.com</t>
  </si>
  <si>
    <t>UAB Baltic Contracting Group</t>
  </si>
  <si>
    <t>Kristina.domarkaite@baltcontract.eu</t>
  </si>
  <si>
    <t>UAB Techsome</t>
  </si>
  <si>
    <t>info@techsoma.lt</t>
  </si>
  <si>
    <t>UAB Toromega</t>
  </si>
  <si>
    <t>dovydas.j@toromega.eu</t>
  </si>
  <si>
    <t>UAB „Laivsta“/ JSC „Laivsta“, Part of Litana Group</t>
  </si>
  <si>
    <t>aleksej.frolov@litana-group.com</t>
  </si>
  <si>
    <t>Uitzendbureau Bakker B.V.</t>
  </si>
  <si>
    <t>administratie@bedrijvenbakker.nl</t>
  </si>
  <si>
    <t>Uitzendwerk B.V.</t>
  </si>
  <si>
    <t>facturen@uitzendwerk.eu</t>
  </si>
  <si>
    <t>United Homes B.V.</t>
  </si>
  <si>
    <t>administratie@unitedhomes.eu</t>
  </si>
  <si>
    <t>United Homes Inhouse B.V.</t>
  </si>
  <si>
    <t>V.B.A. Beheer B.V.</t>
  </si>
  <si>
    <t>vbabv@outlook.com</t>
  </si>
  <si>
    <t>V.O.F. Groepsaccommodaties Drenthe</t>
  </si>
  <si>
    <t>VALO Facilities B.V.</t>
  </si>
  <si>
    <t>invoices.facilities@valo-group.eu</t>
  </si>
  <si>
    <t>Vaktec B.V.</t>
  </si>
  <si>
    <t>inkoopfacturen@vaktec.nl</t>
  </si>
  <si>
    <t>Vaktec BV</t>
  </si>
  <si>
    <t>j.deboer@vaktec.nl</t>
  </si>
  <si>
    <t>Valkenet Vastgoed B.V.</t>
  </si>
  <si>
    <t>Van Bergen Personeelsdiensten B.V.</t>
  </si>
  <si>
    <t>facturen@aubvanbergen.nl</t>
  </si>
  <si>
    <t>Van Mossel Rotterdam</t>
  </si>
  <si>
    <t>simon.beumer@vanmossel.nl</t>
  </si>
  <si>
    <t>Van der Wal Bedrijfshuisvesting B.V.</t>
  </si>
  <si>
    <t>Vast-PS Housing</t>
  </si>
  <si>
    <t>info@vast-ps.nl</t>
  </si>
  <si>
    <t>Vastgoed Spijkenisse</t>
  </si>
  <si>
    <t>a.bilge@vastgoedspijkenisse.nl</t>
  </si>
  <si>
    <t>Verhuur en onderhoudsbedrijf Hilaard</t>
  </si>
  <si>
    <t>verhuurenonderhoudsbedrijfhilaard@outlook.com</t>
  </si>
  <si>
    <t>Verkeersschool Nobel</t>
  </si>
  <si>
    <t>info@verkeersschoolnobel.nl</t>
  </si>
  <si>
    <t>Verlangen Finance BV</t>
  </si>
  <si>
    <t>info@verlangenfinance.nl</t>
  </si>
  <si>
    <t>Vivir Wonen</t>
  </si>
  <si>
    <t>info@vivirwonen.nl</t>
  </si>
  <si>
    <t>Vleesbewerking van der Pijl B.V.</t>
  </si>
  <si>
    <t>facturen@vleesbewerkingvanderpijl.nl</t>
  </si>
  <si>
    <t>Vlot Vastgoed B.V.</t>
  </si>
  <si>
    <t>Vondellaan Vastgoed Beheer B.V.</t>
  </si>
  <si>
    <t>W.T. Bosgraaf en E. Stam</t>
  </si>
  <si>
    <t>WIL International B.V.</t>
  </si>
  <si>
    <t>international@wilgroep.nl</t>
  </si>
  <si>
    <t>WILL Vakkrachten B. V.</t>
  </si>
  <si>
    <t>administratie@wilgroep.nl</t>
  </si>
  <si>
    <t>WS Detachering BV</t>
  </si>
  <si>
    <t>administratie@workstead.nl</t>
  </si>
  <si>
    <t>Welcome Housing B.V.</t>
  </si>
  <si>
    <t>Invoices@hobij.nl</t>
  </si>
  <si>
    <t>Werckpost Service B.V.</t>
  </si>
  <si>
    <t>facturen@werckpost.nl</t>
  </si>
  <si>
    <t>Workforce Housing Holland B.V.</t>
  </si>
  <si>
    <t>invoices@w-hi.com</t>
  </si>
  <si>
    <t>Workforce Housing International B.V</t>
  </si>
  <si>
    <t>Works Personeelsdiensten</t>
  </si>
  <si>
    <t>info@works.jobs</t>
  </si>
  <si>
    <t>Y. K. Bos</t>
  </si>
  <si>
    <t>YaY</t>
  </si>
  <si>
    <t>yolanda@youronlineassociate.nl</t>
  </si>
  <si>
    <t>Z Yilmaz</t>
  </si>
  <si>
    <t>z.yilmaz@yilmazradijs.nl</t>
  </si>
  <si>
    <t>ZaMens R.I.A. B.V.</t>
  </si>
  <si>
    <t>facturen@zamens.nl</t>
  </si>
  <si>
    <t>Zeeland Housing Facility B.V.</t>
  </si>
  <si>
    <t>info@housingzeeland.nl</t>
  </si>
  <si>
    <t>dockHolland Huisvesting B.V.</t>
  </si>
  <si>
    <t>inkoopfacturen@dockholland.com</t>
  </si>
  <si>
    <t>house of work</t>
  </si>
  <si>
    <t>rob.jansen@houseofwork.nl</t>
  </si>
  <si>
    <t>van Heeswijk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</si>
  <si>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</si>
  <si>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</si>
  <si>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</si>
  <si>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</si>
  <si>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</si>
  <si>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</si>
  <si>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</si>
  <si>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</si>
  <si>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Water (m³) Begin</t>
  </si>
  <si>
    <t>Water (m³) Eind</t>
  </si>
  <si>
    <t>Water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</si>
  <si>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</si>
  <si>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</si>
  <si>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</si>
  <si>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</si>
  <si>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</si>
  <si>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</si>
  <si>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BTW %</t>
  </si>
  <si>
    <t>BTW (€)</t>
  </si>
  <si>
    <t>TOTALEN (automatisch berekend)</t>
  </si>
  <si>
    <t>Totaal excl. BTW (automatisch)</t>
  </si>
  <si>
    <t>BTW (Totaal, 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</si>
  <si>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</si>
  <si>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</si>
  <si>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</si>
  <si>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</si>
  <si>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</si>
  <si>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</si>
  <si>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</si>
  <si>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</si>
  <si>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</si>
  <si>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</si>
  <si>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</si>
  <si>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</si>
  <si>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</si>
  <si>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</si>
  <si>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</si>
  <si>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</si>
  <si>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</si>
  <si>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</si>
  <si>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</si>
  <si>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</si>
  <si>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</si>
  <si>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</si>
  <si>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</si>
  <si>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</si>
  <si>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</si>
  <si>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</si>
  <si>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piet@dspeople.nl</t>
  </si>
  <si>
    <t>4624DM</t>
  </si>
  <si>
    <t>bergen op zoom</t>
  </si>
  <si>
    <t>geen</t>
  </si>
  <si>
    <t>Vattenfal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</si>
</sst>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4" fillId="0" borderId="0" xfId="0" applyFont="1"/>
    <xf numFmtId="165" fontId="0" fillId="5" borderId="1" xfId="0" applyNumberFormat="1" applyFill="1" applyBorder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4" fontId="0" fillId="0" borderId="1" xfId="0" applyNumberFormat="1" applyBorder="1"/>
    <xf numFmtId="0" fontId="7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9" fontId="8" fillId="9" borderId="1" xfId="0" applyNumberFormat="1" applyFont="1" applyFill="1" applyBorder="1"/>
    <xf numFmtId="165" fontId="8" fillId="5" borderId="1" xfId="0" applyNumberFormat="1" applyFont="1" applyFill="1" applyBorder="1"/>
    <xf numFmtId="9" fontId="0" fillId="0" borderId="1" xfId="0" applyNumberFormat="1" applyBorder="1"/>
    <xf numFmtId="0" fontId="9" fillId="0" borderId="0" xfId="0" applyFont="1"/>
    <xf numFmtId="165" fontId="9" fillId="5" borderId="2" xfId="0" applyNumberFormat="1" applyFont="1" applyFill="1" applyBorder="1"/>
    <xf numFmtId="0" fontId="10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12" fillId="5" borderId="1" xfId="1" applyFill="1" applyBorder="1"/>
    <xf numFmtId="0" fontId="2" fillId="3" borderId="1" xfId="0" applyFont="1" applyFill="1" applyBorder="1"/>
    <xf numFmtId="0" fontId="0" fillId="0" borderId="0" xfId="0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et@dspeople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53"/>
  <sheetViews>
    <sheetView tabSelected="1" workbookViewId="0">
      <pane ySplit="2" topLeftCell="A3" activePane="bottomLeft" state="frozen"/>
      <selection pane="bottomLeft" activeCell="B34" sqref="B34:B35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7" t="s">
        <v>0</v>
      </c>
      <c r="B1" s="35"/>
    </row>
    <row r="3" spans="1:2" x14ac:dyDescent="0.2">
      <c r="A3" s="34" t="s">
        <v>1</v>
      </c>
      <c r="B3" s="35"/>
    </row>
    <row r="4" spans="1:2" x14ac:dyDescent="0.2">
      <c r="A4" s="1" t="s">
        <v>2</v>
      </c>
      <c r="B4" s="2" t="s">
        <v>255</v>
      </c>
    </row>
    <row r="5" spans="1:2" x14ac:dyDescent="0.2">
      <c r="A5" s="1" t="s">
        <v>3</v>
      </c>
      <c r="B5" s="3">
        <f>IFERROR(VLOOKUP(B4,Lists!$C:$F,2,FALSE),"")</f>
        <v>0</v>
      </c>
    </row>
    <row r="6" spans="1:2" x14ac:dyDescent="0.2">
      <c r="A6" s="1" t="s">
        <v>4</v>
      </c>
      <c r="B6" s="33" t="s">
        <v>1276</v>
      </c>
    </row>
    <row r="7" spans="1:2" x14ac:dyDescent="0.2">
      <c r="A7" s="1" t="s">
        <v>5</v>
      </c>
      <c r="B7" s="3">
        <f>IFERROR(VLOOKUP(B4,Lists!$C:$F,4,FALSE),"")</f>
        <v>0</v>
      </c>
    </row>
    <row r="9" spans="1:2" x14ac:dyDescent="0.2">
      <c r="A9" s="34" t="s">
        <v>6</v>
      </c>
      <c r="B9" s="35"/>
    </row>
    <row r="10" spans="1:2" x14ac:dyDescent="0.2">
      <c r="A10" s="1" t="s">
        <v>7</v>
      </c>
      <c r="B10" s="2" t="s">
        <v>847</v>
      </c>
    </row>
    <row r="11" spans="1:2" x14ac:dyDescent="0.2">
      <c r="A11" s="1" t="s">
        <v>8</v>
      </c>
      <c r="B11" s="3" t="str">
        <f>IFERROR(VLOOKUP(B10,Lists!$A:$B,2,FALSE),"")</f>
        <v>0179</v>
      </c>
    </row>
    <row r="12" spans="1:2" x14ac:dyDescent="0.2">
      <c r="A12" s="1" t="s">
        <v>9</v>
      </c>
      <c r="B12" s="4"/>
    </row>
    <row r="13" spans="1:2" x14ac:dyDescent="0.2">
      <c r="A13" s="1" t="s">
        <v>10</v>
      </c>
      <c r="B13" s="4" t="s">
        <v>1277</v>
      </c>
    </row>
    <row r="14" spans="1:2" x14ac:dyDescent="0.2">
      <c r="A14" s="1" t="s">
        <v>11</v>
      </c>
      <c r="B14" s="4" t="s">
        <v>1278</v>
      </c>
    </row>
    <row r="15" spans="1:2" x14ac:dyDescent="0.2">
      <c r="A15" s="1" t="s">
        <v>8</v>
      </c>
      <c r="B15" s="3" t="str">
        <f>IF(B10="","",VLOOKUP(B10,Lists!$A$2:$B$253,2,FALSE))</f>
        <v>0179</v>
      </c>
    </row>
    <row r="17" spans="1:4" x14ac:dyDescent="0.2">
      <c r="A17" s="34" t="s">
        <v>12</v>
      </c>
      <c r="B17" s="35"/>
    </row>
    <row r="18" spans="1:4" x14ac:dyDescent="0.2">
      <c r="A18" s="1" t="s">
        <v>13</v>
      </c>
      <c r="B18" s="5">
        <v>45383</v>
      </c>
    </row>
    <row r="19" spans="1:4" x14ac:dyDescent="0.2">
      <c r="A19" s="1" t="s">
        <v>14</v>
      </c>
      <c r="B19" s="5">
        <v>45961</v>
      </c>
    </row>
    <row r="20" spans="1:4" x14ac:dyDescent="0.2">
      <c r="A20" s="1" t="s">
        <v>15</v>
      </c>
      <c r="B20" s="6">
        <f>IF(AND(B18&lt;&gt;"",B19&lt;&gt;""),B19-B18,"")</f>
        <v>578</v>
      </c>
    </row>
    <row r="22" spans="1:4" x14ac:dyDescent="0.2">
      <c r="A22" s="34" t="s">
        <v>16</v>
      </c>
      <c r="B22" s="35"/>
    </row>
    <row r="23" spans="1:4" x14ac:dyDescent="0.2">
      <c r="A23" s="1" t="s">
        <v>17</v>
      </c>
      <c r="B23" s="7">
        <v>3100</v>
      </c>
    </row>
    <row r="24" spans="1:4" x14ac:dyDescent="0.2">
      <c r="A24" s="1" t="s">
        <v>18</v>
      </c>
      <c r="B24" s="7">
        <f>300*-1*D28</f>
        <v>5700.821917808219</v>
      </c>
      <c r="D24">
        <f>Uitcheck_datum</f>
        <v>45961</v>
      </c>
    </row>
    <row r="25" spans="1:4" x14ac:dyDescent="0.2">
      <c r="A25" s="1" t="s">
        <v>19</v>
      </c>
      <c r="B25" s="7">
        <v>0</v>
      </c>
      <c r="D25">
        <f>Incheck_datum</f>
        <v>45383</v>
      </c>
    </row>
    <row r="26" spans="1:4" x14ac:dyDescent="0.2">
      <c r="A26" s="1" t="s">
        <v>20</v>
      </c>
      <c r="B26" s="8">
        <v>0</v>
      </c>
      <c r="D26">
        <f>D25-D24</f>
        <v>-578</v>
      </c>
    </row>
    <row r="27" spans="1:4" x14ac:dyDescent="0.2">
      <c r="A27" s="1" t="s">
        <v>21</v>
      </c>
      <c r="B27" s="8">
        <v>0</v>
      </c>
      <c r="D27">
        <f>D26/365</f>
        <v>-1.5835616438356164</v>
      </c>
    </row>
    <row r="28" spans="1:4" x14ac:dyDescent="0.2">
      <c r="A28" s="1" t="s">
        <v>22</v>
      </c>
      <c r="B28" s="4"/>
      <c r="D28">
        <f>D27*12</f>
        <v>-19.002739726027396</v>
      </c>
    </row>
    <row r="30" spans="1:4" x14ac:dyDescent="0.2">
      <c r="A30" s="34" t="s">
        <v>23</v>
      </c>
      <c r="B30" s="35"/>
    </row>
    <row r="31" spans="1:4" x14ac:dyDescent="0.2">
      <c r="A31" s="1" t="s">
        <v>24</v>
      </c>
      <c r="B31" s="2" t="s">
        <v>1279</v>
      </c>
    </row>
    <row r="32" spans="1:4" x14ac:dyDescent="0.2">
      <c r="A32" s="1" t="s">
        <v>25</v>
      </c>
      <c r="B32" s="6" t="str">
        <f>IF(B31="Basis Schoonmaak",5,IF(B31="Intensief Schoonmaak",7,""))</f>
        <v/>
      </c>
    </row>
    <row r="33" spans="1:3" x14ac:dyDescent="0.2">
      <c r="A33" s="1" t="s">
        <v>26</v>
      </c>
      <c r="B33" s="7">
        <v>50</v>
      </c>
    </row>
    <row r="34" spans="1:3" x14ac:dyDescent="0.2">
      <c r="A34" s="1" t="s">
        <v>27</v>
      </c>
      <c r="B34" s="4" t="s">
        <v>1280</v>
      </c>
    </row>
    <row r="35" spans="1:3" x14ac:dyDescent="0.2">
      <c r="A35" s="1" t="s">
        <v>28</v>
      </c>
      <c r="B35" s="4" t="s">
        <v>1280</v>
      </c>
    </row>
    <row r="36" spans="1:3" x14ac:dyDescent="0.2">
      <c r="A36" s="1" t="s">
        <v>29</v>
      </c>
      <c r="B36" s="4"/>
    </row>
    <row r="38" spans="1:3" x14ac:dyDescent="0.2">
      <c r="A38" s="34" t="s">
        <v>30</v>
      </c>
      <c r="B38" s="35"/>
    </row>
    <row r="39" spans="1:3" x14ac:dyDescent="0.2">
      <c r="A39" s="1" t="s">
        <v>31</v>
      </c>
      <c r="B39" s="4">
        <v>80</v>
      </c>
    </row>
    <row r="40" spans="1:3" x14ac:dyDescent="0.2">
      <c r="A40" s="1" t="s">
        <v>32</v>
      </c>
      <c r="B40" s="4"/>
    </row>
    <row r="41" spans="1:3" x14ac:dyDescent="0.2">
      <c r="A41" s="1" t="s">
        <v>33</v>
      </c>
      <c r="B41" s="4"/>
    </row>
    <row r="42" spans="1:3" x14ac:dyDescent="0.2">
      <c r="A42" s="1" t="s">
        <v>34</v>
      </c>
      <c r="B42" s="4"/>
    </row>
    <row r="43" spans="1:3" x14ac:dyDescent="0.2">
      <c r="A43" s="1" t="s">
        <v>35</v>
      </c>
      <c r="B43" s="4"/>
    </row>
    <row r="45" spans="1:3" x14ac:dyDescent="0.2">
      <c r="A45" s="36" t="s">
        <v>36</v>
      </c>
      <c r="B45" s="35"/>
      <c r="C45" s="9" t="s">
        <v>37</v>
      </c>
    </row>
    <row r="46" spans="1:3" x14ac:dyDescent="0.2">
      <c r="A46" s="1" t="s">
        <v>38</v>
      </c>
      <c r="B46" s="10">
        <f>[0]!Schade_totaal_incl</f>
        <v>0</v>
      </c>
    </row>
    <row r="47" spans="1:3" x14ac:dyDescent="0.2">
      <c r="A47" s="1" t="s">
        <v>39</v>
      </c>
      <c r="B47" s="10">
        <f>IF(Borg_gebruikt="","",Voorschot_borg-Borg_gebruikt)</f>
        <v>3100</v>
      </c>
    </row>
    <row r="48" spans="1:3" x14ac:dyDescent="0.2">
      <c r="A48" s="1" t="s">
        <v>40</v>
      </c>
      <c r="B48" s="10">
        <f>IF(Borg_gebruikt="","",MAX(0,Borg_gebruikt-Voorschot_borg))</f>
        <v>0</v>
      </c>
    </row>
    <row r="49" spans="1:2" x14ac:dyDescent="0.2">
      <c r="A49" s="1" t="s">
        <v>41</v>
      </c>
      <c r="B49" s="10">
        <f>IF([0]!GWE_totaal_incl="","",Voorschot_GWE-[0]!GWE_totaal_incl)</f>
        <v>-1891.2262815017793</v>
      </c>
    </row>
    <row r="50" spans="1:2" x14ac:dyDescent="0.2">
      <c r="A50" s="1" t="s">
        <v>42</v>
      </c>
      <c r="B50" s="7">
        <v>0</v>
      </c>
    </row>
    <row r="51" spans="1:2" x14ac:dyDescent="0.2">
      <c r="A51" s="1" t="s">
        <v>43</v>
      </c>
      <c r="B51" s="10" t="str">
        <f>IF(Extra_voorschot_bedrag=0,"",Extra_voorschot_bedrag-Extra_voorschot_gebruikt)</f>
        <v/>
      </c>
    </row>
    <row r="52" spans="1:2" x14ac:dyDescent="0.2">
      <c r="A52" s="1" t="s">
        <v>44</v>
      </c>
      <c r="B52" s="10" t="str">
        <f>IF(Extra_voorschot_bedrag=0,"",MAX(0,Extra_voorschot_gebruikt-Extra_voorschot_bedrag))</f>
        <v/>
      </c>
    </row>
    <row r="53" spans="1:2" x14ac:dyDescent="0.2">
      <c r="A53" s="11" t="s">
        <v>45</v>
      </c>
      <c r="B53" s="12" t="str">
        <f>IF(OR(Borg_terug="",GWE_meer_minder="",[0]!Extra_schoonmaak_bedrag=""),"",Borg_terug+GWE_meer_minder-[0]!Extra_schoonmaak_bedrag+IF(Extra_voorschot_bedrag=0,0,Extra_voorschot_terug))</f>
        <v/>
      </c>
    </row>
  </sheetData>
  <mergeCells count="8">
    <mergeCell ref="A30:B30"/>
    <mergeCell ref="A38:B38"/>
    <mergeCell ref="A45:B45"/>
    <mergeCell ref="A1:B1"/>
    <mergeCell ref="A17:B17"/>
    <mergeCell ref="A9:B9"/>
    <mergeCell ref="A3:B3"/>
    <mergeCell ref="A22:B22"/>
  </mergeCells>
  <dataValidations count="1">
    <dataValidation type="list" errorTitle="Ongeldige invoer" error="Kies geen, Basis Schoonmaak, of Intensief Schoonmaak" sqref="B31" xr:uid="{00000000-0002-0000-0000-000002000000}">
      <formula1>"geen,Basis Schoonmaak,Intensief Schoonmaak"</formula1>
    </dataValidation>
  </dataValidations>
  <hyperlinks>
    <hyperlink ref="B6" r:id="rId1" xr:uid="{EAF2492D-927F-D040-B1ED-0FB4352B29DD}"/>
  </hyperlink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Lists!$C$2:$C$369</xm:f>
          </x14:formula1>
          <xm:sqref>B4</xm:sqref>
        </x14:dataValidation>
        <x14:dataValidation type="list" allowBlank="1" xr:uid="{00000000-0002-0000-0000-000001000000}">
          <x14:formula1>
            <xm:f>Lists!$A$2:$A$253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2">
      <c r="B2" t="s">
        <v>52</v>
      </c>
      <c r="C2" t="s">
        <v>53</v>
      </c>
      <c r="E2" t="s">
        <v>54</v>
      </c>
    </row>
    <row r="3" spans="1:6" x14ac:dyDescent="0.2">
      <c r="A3" t="s">
        <v>55</v>
      </c>
      <c r="B3" t="s">
        <v>56</v>
      </c>
      <c r="C3" t="s">
        <v>57</v>
      </c>
      <c r="E3" t="s">
        <v>58</v>
      </c>
    </row>
    <row r="4" spans="1:6" x14ac:dyDescent="0.2">
      <c r="A4" t="s">
        <v>59</v>
      </c>
      <c r="B4" t="s">
        <v>60</v>
      </c>
      <c r="C4" t="s">
        <v>61</v>
      </c>
      <c r="E4" t="s">
        <v>62</v>
      </c>
    </row>
    <row r="5" spans="1:6" x14ac:dyDescent="0.2">
      <c r="A5" t="s">
        <v>63</v>
      </c>
      <c r="B5" t="s">
        <v>64</v>
      </c>
      <c r="C5" t="s">
        <v>65</v>
      </c>
      <c r="E5" t="s">
        <v>66</v>
      </c>
    </row>
    <row r="6" spans="1:6" x14ac:dyDescent="0.2">
      <c r="A6" t="s">
        <v>67</v>
      </c>
      <c r="B6" t="s">
        <v>68</v>
      </c>
      <c r="C6" t="s">
        <v>69</v>
      </c>
    </row>
    <row r="7" spans="1:6" x14ac:dyDescent="0.2">
      <c r="A7" t="s">
        <v>70</v>
      </c>
      <c r="B7" t="s">
        <v>71</v>
      </c>
      <c r="C7" t="s">
        <v>72</v>
      </c>
      <c r="E7" t="s">
        <v>73</v>
      </c>
    </row>
    <row r="8" spans="1:6" x14ac:dyDescent="0.2">
      <c r="A8" t="s">
        <v>74</v>
      </c>
      <c r="B8" t="s">
        <v>75</v>
      </c>
      <c r="C8" t="s">
        <v>76</v>
      </c>
    </row>
    <row r="9" spans="1:6" x14ac:dyDescent="0.2">
      <c r="A9" t="s">
        <v>77</v>
      </c>
      <c r="B9" t="s">
        <v>78</v>
      </c>
      <c r="C9" t="s">
        <v>79</v>
      </c>
      <c r="E9" t="s">
        <v>80</v>
      </c>
    </row>
    <row r="10" spans="1:6" x14ac:dyDescent="0.2">
      <c r="A10" t="s">
        <v>81</v>
      </c>
      <c r="B10" t="s">
        <v>82</v>
      </c>
      <c r="C10" t="s">
        <v>83</v>
      </c>
      <c r="E10" t="s">
        <v>84</v>
      </c>
    </row>
    <row r="11" spans="1:6" x14ac:dyDescent="0.2">
      <c r="A11" t="s">
        <v>85</v>
      </c>
      <c r="B11" t="s">
        <v>86</v>
      </c>
      <c r="C11" t="s">
        <v>87</v>
      </c>
    </row>
    <row r="12" spans="1:6" x14ac:dyDescent="0.2">
      <c r="A12" t="s">
        <v>88</v>
      </c>
      <c r="B12" t="s">
        <v>89</v>
      </c>
      <c r="C12" t="s">
        <v>90</v>
      </c>
      <c r="E12" t="s">
        <v>91</v>
      </c>
    </row>
    <row r="13" spans="1:6" x14ac:dyDescent="0.2">
      <c r="A13" t="s">
        <v>92</v>
      </c>
      <c r="B13" t="s">
        <v>93</v>
      </c>
      <c r="C13" t="s">
        <v>94</v>
      </c>
      <c r="E13" t="s">
        <v>95</v>
      </c>
    </row>
    <row r="14" spans="1:6" x14ac:dyDescent="0.2">
      <c r="A14" t="s">
        <v>96</v>
      </c>
      <c r="B14" t="s">
        <v>97</v>
      </c>
      <c r="C14" t="s">
        <v>98</v>
      </c>
      <c r="E14" t="s">
        <v>99</v>
      </c>
    </row>
    <row r="15" spans="1:6" x14ac:dyDescent="0.2">
      <c r="A15" t="s">
        <v>100</v>
      </c>
      <c r="B15" t="s">
        <v>101</v>
      </c>
      <c r="C15" t="s">
        <v>102</v>
      </c>
      <c r="E15" t="s">
        <v>103</v>
      </c>
    </row>
    <row r="16" spans="1:6" x14ac:dyDescent="0.2">
      <c r="A16" t="s">
        <v>104</v>
      </c>
      <c r="B16" t="s">
        <v>105</v>
      </c>
      <c r="C16" t="s">
        <v>106</v>
      </c>
      <c r="E16" t="s">
        <v>107</v>
      </c>
    </row>
    <row r="17" spans="1:5" x14ac:dyDescent="0.2">
      <c r="A17" t="s">
        <v>108</v>
      </c>
      <c r="B17" t="s">
        <v>109</v>
      </c>
      <c r="C17" t="s">
        <v>110</v>
      </c>
      <c r="E17" t="s">
        <v>111</v>
      </c>
    </row>
    <row r="18" spans="1:5" x14ac:dyDescent="0.2">
      <c r="A18" t="s">
        <v>112</v>
      </c>
      <c r="B18" t="s">
        <v>113</v>
      </c>
      <c r="C18" t="s">
        <v>114</v>
      </c>
      <c r="E18" t="s">
        <v>115</v>
      </c>
    </row>
    <row r="19" spans="1:5" x14ac:dyDescent="0.2">
      <c r="A19" t="s">
        <v>116</v>
      </c>
      <c r="B19" t="s">
        <v>117</v>
      </c>
      <c r="C19" t="s">
        <v>118</v>
      </c>
      <c r="E19" t="s">
        <v>119</v>
      </c>
    </row>
    <row r="20" spans="1:5" x14ac:dyDescent="0.2">
      <c r="A20" t="s">
        <v>120</v>
      </c>
      <c r="B20" t="s">
        <v>121</v>
      </c>
      <c r="C20" t="s">
        <v>122</v>
      </c>
      <c r="E20" t="s">
        <v>123</v>
      </c>
    </row>
    <row r="21" spans="1:5" x14ac:dyDescent="0.2">
      <c r="A21" t="s">
        <v>124</v>
      </c>
      <c r="B21" t="s">
        <v>125</v>
      </c>
      <c r="C21" t="s">
        <v>126</v>
      </c>
      <c r="E21" t="s">
        <v>127</v>
      </c>
    </row>
    <row r="22" spans="1:5" x14ac:dyDescent="0.2">
      <c r="A22" t="s">
        <v>128</v>
      </c>
      <c r="B22" t="s">
        <v>129</v>
      </c>
      <c r="C22" t="s">
        <v>130</v>
      </c>
      <c r="E22" t="s">
        <v>131</v>
      </c>
    </row>
    <row r="23" spans="1:5" x14ac:dyDescent="0.2">
      <c r="A23" t="s">
        <v>132</v>
      </c>
      <c r="B23" t="s">
        <v>133</v>
      </c>
      <c r="C23" t="s">
        <v>134</v>
      </c>
      <c r="E23" t="s">
        <v>135</v>
      </c>
    </row>
    <row r="24" spans="1:5" x14ac:dyDescent="0.2">
      <c r="A24" t="s">
        <v>136</v>
      </c>
      <c r="B24" t="s">
        <v>137</v>
      </c>
      <c r="C24" t="s">
        <v>138</v>
      </c>
      <c r="E24" t="s">
        <v>139</v>
      </c>
    </row>
    <row r="25" spans="1:5" x14ac:dyDescent="0.2">
      <c r="A25" t="s">
        <v>140</v>
      </c>
      <c r="B25" t="s">
        <v>141</v>
      </c>
      <c r="C25" t="s">
        <v>142</v>
      </c>
      <c r="E25" t="s">
        <v>143</v>
      </c>
    </row>
    <row r="26" spans="1:5" x14ac:dyDescent="0.2">
      <c r="A26" t="s">
        <v>144</v>
      </c>
      <c r="B26" t="s">
        <v>145</v>
      </c>
      <c r="C26" t="s">
        <v>146</v>
      </c>
      <c r="E26" t="s">
        <v>147</v>
      </c>
    </row>
    <row r="27" spans="1:5" x14ac:dyDescent="0.2">
      <c r="A27" t="s">
        <v>148</v>
      </c>
      <c r="B27" t="s">
        <v>149</v>
      </c>
      <c r="C27" t="s">
        <v>150</v>
      </c>
      <c r="E27" t="s">
        <v>151</v>
      </c>
    </row>
    <row r="28" spans="1:5" x14ac:dyDescent="0.2">
      <c r="A28" t="s">
        <v>152</v>
      </c>
      <c r="B28" t="s">
        <v>153</v>
      </c>
      <c r="C28" t="s">
        <v>154</v>
      </c>
      <c r="E28" t="s">
        <v>155</v>
      </c>
    </row>
    <row r="29" spans="1:5" x14ac:dyDescent="0.2">
      <c r="A29" t="s">
        <v>156</v>
      </c>
      <c r="B29" t="s">
        <v>157</v>
      </c>
      <c r="C29" t="s">
        <v>158</v>
      </c>
      <c r="E29" t="s">
        <v>159</v>
      </c>
    </row>
    <row r="30" spans="1:5" x14ac:dyDescent="0.2">
      <c r="A30" t="s">
        <v>160</v>
      </c>
      <c r="B30" t="s">
        <v>161</v>
      </c>
      <c r="C30" t="s">
        <v>162</v>
      </c>
    </row>
    <row r="31" spans="1:5" x14ac:dyDescent="0.2">
      <c r="A31" t="s">
        <v>163</v>
      </c>
      <c r="B31" t="s">
        <v>164</v>
      </c>
      <c r="C31" t="s">
        <v>165</v>
      </c>
      <c r="E31" t="s">
        <v>166</v>
      </c>
    </row>
    <row r="32" spans="1:5" x14ac:dyDescent="0.2">
      <c r="A32" t="s">
        <v>167</v>
      </c>
      <c r="B32" t="s">
        <v>168</v>
      </c>
      <c r="C32" t="s">
        <v>169</v>
      </c>
      <c r="E32" t="s">
        <v>170</v>
      </c>
    </row>
    <row r="33" spans="1:5" x14ac:dyDescent="0.2">
      <c r="A33" t="s">
        <v>171</v>
      </c>
      <c r="B33" t="s">
        <v>172</v>
      </c>
      <c r="C33" t="s">
        <v>173</v>
      </c>
      <c r="E33" t="s">
        <v>147</v>
      </c>
    </row>
    <row r="34" spans="1:5" x14ac:dyDescent="0.2">
      <c r="A34" t="s">
        <v>174</v>
      </c>
      <c r="B34" t="s">
        <v>175</v>
      </c>
      <c r="C34" t="s">
        <v>176</v>
      </c>
      <c r="E34" t="s">
        <v>177</v>
      </c>
    </row>
    <row r="35" spans="1:5" x14ac:dyDescent="0.2">
      <c r="A35" t="s">
        <v>178</v>
      </c>
      <c r="B35" t="s">
        <v>179</v>
      </c>
      <c r="C35" t="s">
        <v>180</v>
      </c>
      <c r="E35" t="s">
        <v>181</v>
      </c>
    </row>
    <row r="36" spans="1:5" x14ac:dyDescent="0.2">
      <c r="A36" t="s">
        <v>182</v>
      </c>
      <c r="B36" t="s">
        <v>183</v>
      </c>
      <c r="C36" t="s">
        <v>184</v>
      </c>
      <c r="E36" t="s">
        <v>185</v>
      </c>
    </row>
    <row r="37" spans="1:5" x14ac:dyDescent="0.2">
      <c r="A37" t="s">
        <v>186</v>
      </c>
      <c r="B37" t="s">
        <v>187</v>
      </c>
      <c r="C37" t="s">
        <v>188</v>
      </c>
      <c r="E37" t="s">
        <v>189</v>
      </c>
    </row>
    <row r="38" spans="1:5" x14ac:dyDescent="0.2">
      <c r="A38" t="s">
        <v>190</v>
      </c>
      <c r="B38" t="s">
        <v>191</v>
      </c>
      <c r="C38" t="s">
        <v>192</v>
      </c>
      <c r="E38" t="s">
        <v>193</v>
      </c>
    </row>
    <row r="39" spans="1:5" x14ac:dyDescent="0.2">
      <c r="A39" t="s">
        <v>194</v>
      </c>
      <c r="B39" t="s">
        <v>195</v>
      </c>
      <c r="C39" t="s">
        <v>196</v>
      </c>
      <c r="E39" t="s">
        <v>197</v>
      </c>
    </row>
    <row r="40" spans="1:5" x14ac:dyDescent="0.2">
      <c r="A40" t="s">
        <v>198</v>
      </c>
      <c r="B40" t="s">
        <v>199</v>
      </c>
      <c r="C40" t="s">
        <v>200</v>
      </c>
      <c r="E40" t="s">
        <v>201</v>
      </c>
    </row>
    <row r="41" spans="1:5" x14ac:dyDescent="0.2">
      <c r="A41" t="s">
        <v>202</v>
      </c>
      <c r="B41" t="s">
        <v>203</v>
      </c>
      <c r="C41" t="s">
        <v>204</v>
      </c>
      <c r="E41" t="s">
        <v>205</v>
      </c>
    </row>
    <row r="42" spans="1:5" x14ac:dyDescent="0.2">
      <c r="A42" t="s">
        <v>206</v>
      </c>
      <c r="B42" t="s">
        <v>207</v>
      </c>
      <c r="C42" t="s">
        <v>208</v>
      </c>
      <c r="E42" t="s">
        <v>209</v>
      </c>
    </row>
    <row r="43" spans="1:5" x14ac:dyDescent="0.2">
      <c r="A43" t="s">
        <v>210</v>
      </c>
      <c r="B43" t="s">
        <v>211</v>
      </c>
      <c r="C43" t="s">
        <v>212</v>
      </c>
      <c r="E43" t="s">
        <v>213</v>
      </c>
    </row>
    <row r="44" spans="1:5" x14ac:dyDescent="0.2">
      <c r="A44" t="s">
        <v>214</v>
      </c>
      <c r="B44" t="s">
        <v>215</v>
      </c>
      <c r="C44" t="s">
        <v>216</v>
      </c>
      <c r="E44" t="s">
        <v>217</v>
      </c>
    </row>
    <row r="45" spans="1:5" x14ac:dyDescent="0.2">
      <c r="A45" t="s">
        <v>218</v>
      </c>
      <c r="B45" t="s">
        <v>219</v>
      </c>
      <c r="C45" t="s">
        <v>220</v>
      </c>
      <c r="E45" t="s">
        <v>221</v>
      </c>
    </row>
    <row r="46" spans="1:5" x14ac:dyDescent="0.2">
      <c r="A46" t="s">
        <v>222</v>
      </c>
      <c r="B46" t="s">
        <v>223</v>
      </c>
      <c r="C46" t="s">
        <v>224</v>
      </c>
      <c r="E46" t="s">
        <v>225</v>
      </c>
    </row>
    <row r="47" spans="1:5" x14ac:dyDescent="0.2">
      <c r="A47" t="s">
        <v>226</v>
      </c>
      <c r="B47" t="s">
        <v>227</v>
      </c>
      <c r="C47" t="s">
        <v>228</v>
      </c>
      <c r="E47" t="s">
        <v>229</v>
      </c>
    </row>
    <row r="48" spans="1:5" x14ac:dyDescent="0.2">
      <c r="A48" t="s">
        <v>230</v>
      </c>
      <c r="B48" t="s">
        <v>231</v>
      </c>
      <c r="C48" t="s">
        <v>232</v>
      </c>
      <c r="E48" t="s">
        <v>233</v>
      </c>
    </row>
    <row r="49" spans="1:5" x14ac:dyDescent="0.2">
      <c r="A49" t="s">
        <v>234</v>
      </c>
      <c r="B49" t="s">
        <v>235</v>
      </c>
      <c r="C49" t="s">
        <v>236</v>
      </c>
      <c r="E49" t="s">
        <v>237</v>
      </c>
    </row>
    <row r="50" spans="1:5" x14ac:dyDescent="0.2">
      <c r="A50" t="s">
        <v>238</v>
      </c>
      <c r="B50" t="s">
        <v>239</v>
      </c>
      <c r="C50" t="s">
        <v>240</v>
      </c>
      <c r="E50" t="s">
        <v>241</v>
      </c>
    </row>
    <row r="51" spans="1:5" x14ac:dyDescent="0.2">
      <c r="A51" t="s">
        <v>242</v>
      </c>
      <c r="B51" t="s">
        <v>243</v>
      </c>
      <c r="C51" t="s">
        <v>244</v>
      </c>
      <c r="E51" t="s">
        <v>245</v>
      </c>
    </row>
    <row r="52" spans="1:5" x14ac:dyDescent="0.2">
      <c r="A52" t="s">
        <v>246</v>
      </c>
      <c r="B52" t="s">
        <v>247</v>
      </c>
      <c r="C52" t="s">
        <v>248</v>
      </c>
      <c r="E52" t="s">
        <v>249</v>
      </c>
    </row>
    <row r="53" spans="1:5" x14ac:dyDescent="0.2">
      <c r="A53" t="s">
        <v>250</v>
      </c>
      <c r="B53" t="s">
        <v>251</v>
      </c>
      <c r="C53" t="s">
        <v>252</v>
      </c>
    </row>
    <row r="54" spans="1:5" x14ac:dyDescent="0.2">
      <c r="A54" t="s">
        <v>253</v>
      </c>
      <c r="B54" t="s">
        <v>254</v>
      </c>
      <c r="C54" t="s">
        <v>255</v>
      </c>
      <c r="E54" t="s">
        <v>256</v>
      </c>
    </row>
    <row r="55" spans="1:5" x14ac:dyDescent="0.2">
      <c r="A55" t="s">
        <v>257</v>
      </c>
      <c r="B55" t="s">
        <v>258</v>
      </c>
      <c r="C55" t="s">
        <v>259</v>
      </c>
      <c r="E55" t="s">
        <v>260</v>
      </c>
    </row>
    <row r="56" spans="1:5" x14ac:dyDescent="0.2">
      <c r="A56" t="s">
        <v>261</v>
      </c>
      <c r="B56" t="s">
        <v>262</v>
      </c>
      <c r="C56" t="s">
        <v>263</v>
      </c>
      <c r="E56" t="s">
        <v>264</v>
      </c>
    </row>
    <row r="57" spans="1:5" x14ac:dyDescent="0.2">
      <c r="A57" t="s">
        <v>265</v>
      </c>
      <c r="B57" t="s">
        <v>266</v>
      </c>
      <c r="C57" t="s">
        <v>267</v>
      </c>
      <c r="E57" t="s">
        <v>268</v>
      </c>
    </row>
    <row r="58" spans="1:5" x14ac:dyDescent="0.2">
      <c r="A58" t="s">
        <v>269</v>
      </c>
      <c r="B58" t="s">
        <v>270</v>
      </c>
      <c r="C58" t="s">
        <v>271</v>
      </c>
      <c r="E58" t="s">
        <v>272</v>
      </c>
    </row>
    <row r="59" spans="1:5" x14ac:dyDescent="0.2">
      <c r="A59" t="s">
        <v>273</v>
      </c>
      <c r="B59" t="s">
        <v>274</v>
      </c>
      <c r="C59" t="s">
        <v>275</v>
      </c>
      <c r="E59" t="s">
        <v>276</v>
      </c>
    </row>
    <row r="60" spans="1:5" x14ac:dyDescent="0.2">
      <c r="A60" t="s">
        <v>277</v>
      </c>
      <c r="B60" t="s">
        <v>278</v>
      </c>
      <c r="C60" t="s">
        <v>279</v>
      </c>
      <c r="E60" t="s">
        <v>280</v>
      </c>
    </row>
    <row r="61" spans="1:5" x14ac:dyDescent="0.2">
      <c r="A61" t="s">
        <v>281</v>
      </c>
      <c r="B61" t="s">
        <v>282</v>
      </c>
      <c r="C61" t="s">
        <v>283</v>
      </c>
      <c r="E61" t="s">
        <v>284</v>
      </c>
    </row>
    <row r="62" spans="1:5" x14ac:dyDescent="0.2">
      <c r="A62" t="s">
        <v>285</v>
      </c>
      <c r="B62" t="s">
        <v>286</v>
      </c>
      <c r="C62" t="s">
        <v>287</v>
      </c>
    </row>
    <row r="63" spans="1:5" x14ac:dyDescent="0.2">
      <c r="A63" t="s">
        <v>288</v>
      </c>
      <c r="B63" t="s">
        <v>289</v>
      </c>
      <c r="C63" t="s">
        <v>290</v>
      </c>
      <c r="E63" t="s">
        <v>291</v>
      </c>
    </row>
    <row r="64" spans="1:5" x14ac:dyDescent="0.2">
      <c r="A64" t="s">
        <v>292</v>
      </c>
      <c r="B64" t="s">
        <v>293</v>
      </c>
      <c r="C64" t="s">
        <v>294</v>
      </c>
      <c r="E64" t="s">
        <v>295</v>
      </c>
    </row>
    <row r="65" spans="1:5" x14ac:dyDescent="0.2">
      <c r="A65" t="s">
        <v>296</v>
      </c>
      <c r="B65" t="s">
        <v>297</v>
      </c>
      <c r="C65" t="s">
        <v>298</v>
      </c>
      <c r="E65" t="s">
        <v>299</v>
      </c>
    </row>
    <row r="66" spans="1:5" x14ac:dyDescent="0.2">
      <c r="A66" t="s">
        <v>300</v>
      </c>
      <c r="B66" t="s">
        <v>301</v>
      </c>
      <c r="C66" t="s">
        <v>302</v>
      </c>
      <c r="E66" t="s">
        <v>303</v>
      </c>
    </row>
    <row r="67" spans="1:5" x14ac:dyDescent="0.2">
      <c r="A67" t="s">
        <v>304</v>
      </c>
      <c r="B67" t="s">
        <v>305</v>
      </c>
      <c r="C67" t="s">
        <v>306</v>
      </c>
      <c r="E67" t="s">
        <v>307</v>
      </c>
    </row>
    <row r="68" spans="1:5" x14ac:dyDescent="0.2">
      <c r="A68" t="s">
        <v>308</v>
      </c>
      <c r="B68" t="s">
        <v>309</v>
      </c>
      <c r="C68" t="s">
        <v>310</v>
      </c>
      <c r="E68" t="s">
        <v>311</v>
      </c>
    </row>
    <row r="69" spans="1:5" x14ac:dyDescent="0.2">
      <c r="A69" t="s">
        <v>312</v>
      </c>
      <c r="B69" t="s">
        <v>313</v>
      </c>
      <c r="C69" t="s">
        <v>314</v>
      </c>
      <c r="E69" t="s">
        <v>315</v>
      </c>
    </row>
    <row r="70" spans="1:5" x14ac:dyDescent="0.2">
      <c r="A70" t="s">
        <v>316</v>
      </c>
      <c r="B70" t="s">
        <v>317</v>
      </c>
      <c r="C70" t="s">
        <v>318</v>
      </c>
      <c r="E70" t="s">
        <v>319</v>
      </c>
    </row>
    <row r="71" spans="1:5" x14ac:dyDescent="0.2">
      <c r="A71" t="s">
        <v>320</v>
      </c>
      <c r="B71" t="s">
        <v>321</v>
      </c>
      <c r="C71" t="s">
        <v>322</v>
      </c>
      <c r="E71" t="s">
        <v>323</v>
      </c>
    </row>
    <row r="72" spans="1:5" x14ac:dyDescent="0.2">
      <c r="A72" t="s">
        <v>324</v>
      </c>
      <c r="B72" t="s">
        <v>325</v>
      </c>
      <c r="C72" t="s">
        <v>326</v>
      </c>
      <c r="E72" t="s">
        <v>327</v>
      </c>
    </row>
    <row r="73" spans="1:5" x14ac:dyDescent="0.2">
      <c r="A73" t="s">
        <v>328</v>
      </c>
      <c r="B73" t="s">
        <v>329</v>
      </c>
      <c r="C73" t="s">
        <v>330</v>
      </c>
      <c r="E73" t="s">
        <v>331</v>
      </c>
    </row>
    <row r="74" spans="1:5" x14ac:dyDescent="0.2">
      <c r="A74" t="s">
        <v>332</v>
      </c>
      <c r="B74" t="s">
        <v>333</v>
      </c>
      <c r="C74" t="s">
        <v>334</v>
      </c>
      <c r="E74" t="s">
        <v>335</v>
      </c>
    </row>
    <row r="75" spans="1:5" x14ac:dyDescent="0.2">
      <c r="A75" t="s">
        <v>336</v>
      </c>
      <c r="B75" t="s">
        <v>337</v>
      </c>
      <c r="C75" t="s">
        <v>338</v>
      </c>
      <c r="E75" t="s">
        <v>339</v>
      </c>
    </row>
    <row r="76" spans="1:5" x14ac:dyDescent="0.2">
      <c r="A76" t="s">
        <v>340</v>
      </c>
      <c r="B76" t="s">
        <v>341</v>
      </c>
      <c r="C76" t="s">
        <v>342</v>
      </c>
      <c r="E76" t="s">
        <v>343</v>
      </c>
    </row>
    <row r="77" spans="1:5" x14ac:dyDescent="0.2">
      <c r="A77" t="s">
        <v>344</v>
      </c>
      <c r="B77" t="s">
        <v>345</v>
      </c>
      <c r="C77" t="s">
        <v>346</v>
      </c>
      <c r="E77" t="s">
        <v>347</v>
      </c>
    </row>
    <row r="78" spans="1:5" x14ac:dyDescent="0.2">
      <c r="A78" t="s">
        <v>348</v>
      </c>
      <c r="B78" t="s">
        <v>349</v>
      </c>
      <c r="C78" t="s">
        <v>350</v>
      </c>
    </row>
    <row r="79" spans="1:5" x14ac:dyDescent="0.2">
      <c r="A79" t="s">
        <v>351</v>
      </c>
      <c r="B79" t="s">
        <v>352</v>
      </c>
      <c r="C79" t="s">
        <v>353</v>
      </c>
      <c r="E79" t="s">
        <v>354</v>
      </c>
    </row>
    <row r="80" spans="1:5" x14ac:dyDescent="0.2">
      <c r="A80" t="s">
        <v>355</v>
      </c>
      <c r="B80" t="s">
        <v>356</v>
      </c>
      <c r="C80" t="s">
        <v>357</v>
      </c>
      <c r="E80" t="s">
        <v>358</v>
      </c>
    </row>
    <row r="81" spans="1:5" x14ac:dyDescent="0.2">
      <c r="A81" t="s">
        <v>359</v>
      </c>
      <c r="B81" t="s">
        <v>360</v>
      </c>
      <c r="C81" t="s">
        <v>361</v>
      </c>
      <c r="E81" t="s">
        <v>362</v>
      </c>
    </row>
    <row r="82" spans="1:5" x14ac:dyDescent="0.2">
      <c r="A82" t="s">
        <v>363</v>
      </c>
      <c r="B82" t="s">
        <v>364</v>
      </c>
      <c r="C82" t="s">
        <v>365</v>
      </c>
    </row>
    <row r="83" spans="1:5" x14ac:dyDescent="0.2">
      <c r="A83" t="s">
        <v>366</v>
      </c>
      <c r="B83" t="s">
        <v>367</v>
      </c>
      <c r="C83" t="s">
        <v>368</v>
      </c>
      <c r="E83" t="s">
        <v>369</v>
      </c>
    </row>
    <row r="84" spans="1:5" x14ac:dyDescent="0.2">
      <c r="A84" t="s">
        <v>370</v>
      </c>
      <c r="B84" t="s">
        <v>371</v>
      </c>
      <c r="C84" t="s">
        <v>372</v>
      </c>
      <c r="E84" t="s">
        <v>373</v>
      </c>
    </row>
    <row r="85" spans="1:5" x14ac:dyDescent="0.2">
      <c r="A85" t="s">
        <v>374</v>
      </c>
      <c r="B85" t="s">
        <v>375</v>
      </c>
      <c r="C85" t="s">
        <v>376</v>
      </c>
    </row>
    <row r="86" spans="1:5" x14ac:dyDescent="0.2">
      <c r="A86" t="s">
        <v>377</v>
      </c>
      <c r="B86" t="s">
        <v>378</v>
      </c>
      <c r="C86" t="s">
        <v>379</v>
      </c>
      <c r="E86" t="s">
        <v>380</v>
      </c>
    </row>
    <row r="87" spans="1:5" x14ac:dyDescent="0.2">
      <c r="A87" t="s">
        <v>381</v>
      </c>
      <c r="B87" t="s">
        <v>382</v>
      </c>
      <c r="C87" t="s">
        <v>383</v>
      </c>
      <c r="E87" t="s">
        <v>384</v>
      </c>
    </row>
    <row r="88" spans="1:5" x14ac:dyDescent="0.2">
      <c r="A88" t="s">
        <v>385</v>
      </c>
      <c r="B88" t="s">
        <v>386</v>
      </c>
      <c r="C88" t="s">
        <v>387</v>
      </c>
      <c r="E88" t="s">
        <v>388</v>
      </c>
    </row>
    <row r="89" spans="1:5" x14ac:dyDescent="0.2">
      <c r="A89" t="s">
        <v>389</v>
      </c>
      <c r="B89" t="s">
        <v>390</v>
      </c>
      <c r="C89" t="s">
        <v>391</v>
      </c>
      <c r="E89" t="s">
        <v>392</v>
      </c>
    </row>
    <row r="90" spans="1:5" x14ac:dyDescent="0.2">
      <c r="A90" t="s">
        <v>393</v>
      </c>
      <c r="B90" t="s">
        <v>394</v>
      </c>
      <c r="C90" t="s">
        <v>395</v>
      </c>
      <c r="E90" t="s">
        <v>396</v>
      </c>
    </row>
    <row r="91" spans="1:5" x14ac:dyDescent="0.2">
      <c r="A91" t="s">
        <v>397</v>
      </c>
      <c r="B91" t="s">
        <v>398</v>
      </c>
      <c r="C91" t="s">
        <v>399</v>
      </c>
      <c r="E91" t="s">
        <v>400</v>
      </c>
    </row>
    <row r="92" spans="1:5" x14ac:dyDescent="0.2">
      <c r="A92" t="s">
        <v>401</v>
      </c>
      <c r="B92" t="s">
        <v>402</v>
      </c>
      <c r="C92" t="s">
        <v>403</v>
      </c>
      <c r="E92" t="s">
        <v>404</v>
      </c>
    </row>
    <row r="93" spans="1:5" x14ac:dyDescent="0.2">
      <c r="A93" t="s">
        <v>405</v>
      </c>
      <c r="B93" t="s">
        <v>406</v>
      </c>
      <c r="C93" t="s">
        <v>407</v>
      </c>
      <c r="E93" t="s">
        <v>408</v>
      </c>
    </row>
    <row r="94" spans="1:5" x14ac:dyDescent="0.2">
      <c r="A94" t="s">
        <v>409</v>
      </c>
      <c r="B94" t="s">
        <v>410</v>
      </c>
      <c r="C94" t="s">
        <v>411</v>
      </c>
      <c r="E94" t="s">
        <v>412</v>
      </c>
    </row>
    <row r="95" spans="1:5" x14ac:dyDescent="0.2">
      <c r="A95" t="s">
        <v>413</v>
      </c>
      <c r="B95" t="s">
        <v>414</v>
      </c>
      <c r="C95" t="s">
        <v>415</v>
      </c>
      <c r="E95" t="s">
        <v>412</v>
      </c>
    </row>
    <row r="96" spans="1:5" x14ac:dyDescent="0.2">
      <c r="A96" t="s">
        <v>416</v>
      </c>
      <c r="B96" t="s">
        <v>417</v>
      </c>
      <c r="C96" t="s">
        <v>418</v>
      </c>
      <c r="E96" t="s">
        <v>419</v>
      </c>
    </row>
    <row r="97" spans="1:5" x14ac:dyDescent="0.2">
      <c r="A97" t="s">
        <v>420</v>
      </c>
      <c r="B97" t="s">
        <v>421</v>
      </c>
      <c r="C97" t="s">
        <v>422</v>
      </c>
      <c r="E97" t="s">
        <v>423</v>
      </c>
    </row>
    <row r="98" spans="1:5" x14ac:dyDescent="0.2">
      <c r="A98" t="s">
        <v>424</v>
      </c>
      <c r="B98" t="s">
        <v>425</v>
      </c>
      <c r="C98" t="s">
        <v>426</v>
      </c>
      <c r="E98" t="s">
        <v>427</v>
      </c>
    </row>
    <row r="99" spans="1:5" x14ac:dyDescent="0.2">
      <c r="A99" t="s">
        <v>428</v>
      </c>
      <c r="B99" t="s">
        <v>429</v>
      </c>
      <c r="C99" t="s">
        <v>430</v>
      </c>
      <c r="E99" t="s">
        <v>431</v>
      </c>
    </row>
    <row r="100" spans="1:5" x14ac:dyDescent="0.2">
      <c r="A100" t="s">
        <v>432</v>
      </c>
      <c r="B100" t="s">
        <v>433</v>
      </c>
      <c r="C100" t="s">
        <v>434</v>
      </c>
      <c r="E100" t="s">
        <v>435</v>
      </c>
    </row>
    <row r="101" spans="1:5" x14ac:dyDescent="0.2">
      <c r="A101" t="s">
        <v>436</v>
      </c>
      <c r="B101" t="s">
        <v>437</v>
      </c>
      <c r="C101" t="s">
        <v>438</v>
      </c>
      <c r="E101" t="s">
        <v>439</v>
      </c>
    </row>
    <row r="102" spans="1:5" x14ac:dyDescent="0.2">
      <c r="A102" t="s">
        <v>440</v>
      </c>
      <c r="B102" t="s">
        <v>441</v>
      </c>
      <c r="C102" t="s">
        <v>442</v>
      </c>
      <c r="E102" t="s">
        <v>443</v>
      </c>
    </row>
    <row r="103" spans="1:5" x14ac:dyDescent="0.2">
      <c r="A103" t="s">
        <v>444</v>
      </c>
      <c r="B103" t="s">
        <v>445</v>
      </c>
      <c r="C103" t="s">
        <v>446</v>
      </c>
    </row>
    <row r="104" spans="1:5" x14ac:dyDescent="0.2">
      <c r="A104" t="s">
        <v>447</v>
      </c>
      <c r="B104" t="s">
        <v>448</v>
      </c>
      <c r="C104" t="s">
        <v>449</v>
      </c>
      <c r="E104" t="s">
        <v>450</v>
      </c>
    </row>
    <row r="105" spans="1:5" x14ac:dyDescent="0.2">
      <c r="A105" t="s">
        <v>451</v>
      </c>
      <c r="B105" t="s">
        <v>452</v>
      </c>
      <c r="C105" t="s">
        <v>453</v>
      </c>
      <c r="E105" t="s">
        <v>454</v>
      </c>
    </row>
    <row r="106" spans="1:5" x14ac:dyDescent="0.2">
      <c r="A106" t="s">
        <v>455</v>
      </c>
      <c r="B106" t="s">
        <v>456</v>
      </c>
      <c r="C106" t="s">
        <v>457</v>
      </c>
      <c r="E106" t="s">
        <v>458</v>
      </c>
    </row>
    <row r="107" spans="1:5" x14ac:dyDescent="0.2">
      <c r="A107" t="s">
        <v>459</v>
      </c>
      <c r="B107" t="s">
        <v>460</v>
      </c>
      <c r="C107" t="s">
        <v>461</v>
      </c>
      <c r="E107" t="s">
        <v>462</v>
      </c>
    </row>
    <row r="108" spans="1:5" x14ac:dyDescent="0.2">
      <c r="A108" t="s">
        <v>463</v>
      </c>
      <c r="B108" t="s">
        <v>464</v>
      </c>
      <c r="C108" t="s">
        <v>465</v>
      </c>
      <c r="E108" t="s">
        <v>466</v>
      </c>
    </row>
    <row r="109" spans="1:5" x14ac:dyDescent="0.2">
      <c r="A109" t="s">
        <v>467</v>
      </c>
      <c r="B109" t="s">
        <v>468</v>
      </c>
      <c r="C109" t="s">
        <v>469</v>
      </c>
      <c r="E109" t="s">
        <v>470</v>
      </c>
    </row>
    <row r="110" spans="1:5" x14ac:dyDescent="0.2">
      <c r="A110" t="s">
        <v>471</v>
      </c>
      <c r="B110" t="s">
        <v>472</v>
      </c>
      <c r="C110" t="s">
        <v>473</v>
      </c>
      <c r="E110" t="s">
        <v>474</v>
      </c>
    </row>
    <row r="111" spans="1:5" x14ac:dyDescent="0.2">
      <c r="A111" t="s">
        <v>475</v>
      </c>
      <c r="B111" t="s">
        <v>476</v>
      </c>
      <c r="C111" t="s">
        <v>477</v>
      </c>
      <c r="E111" t="s">
        <v>478</v>
      </c>
    </row>
    <row r="112" spans="1:5" x14ac:dyDescent="0.2">
      <c r="A112" t="s">
        <v>479</v>
      </c>
      <c r="B112" t="s">
        <v>480</v>
      </c>
      <c r="C112" t="s">
        <v>481</v>
      </c>
      <c r="E112" t="s">
        <v>482</v>
      </c>
    </row>
    <row r="113" spans="1:5" x14ac:dyDescent="0.2">
      <c r="A113" t="s">
        <v>483</v>
      </c>
      <c r="B113" t="s">
        <v>484</v>
      </c>
      <c r="C113" t="s">
        <v>485</v>
      </c>
      <c r="E113" t="s">
        <v>482</v>
      </c>
    </row>
    <row r="114" spans="1:5" x14ac:dyDescent="0.2">
      <c r="A114" t="s">
        <v>486</v>
      </c>
      <c r="B114" t="s">
        <v>487</v>
      </c>
      <c r="C114" t="s">
        <v>488</v>
      </c>
      <c r="E114" t="s">
        <v>489</v>
      </c>
    </row>
    <row r="115" spans="1:5" x14ac:dyDescent="0.2">
      <c r="A115" t="s">
        <v>490</v>
      </c>
      <c r="B115" t="s">
        <v>491</v>
      </c>
      <c r="C115" t="s">
        <v>492</v>
      </c>
      <c r="E115" t="s">
        <v>493</v>
      </c>
    </row>
    <row r="116" spans="1:5" x14ac:dyDescent="0.2">
      <c r="A116" t="s">
        <v>494</v>
      </c>
      <c r="B116" t="s">
        <v>495</v>
      </c>
      <c r="C116" t="s">
        <v>496</v>
      </c>
      <c r="E116" t="s">
        <v>497</v>
      </c>
    </row>
    <row r="117" spans="1:5" x14ac:dyDescent="0.2">
      <c r="A117" t="s">
        <v>498</v>
      </c>
      <c r="B117" t="s">
        <v>499</v>
      </c>
      <c r="C117" t="s">
        <v>500</v>
      </c>
      <c r="E117" t="s">
        <v>501</v>
      </c>
    </row>
    <row r="118" spans="1:5" x14ac:dyDescent="0.2">
      <c r="A118" t="s">
        <v>502</v>
      </c>
      <c r="B118" t="s">
        <v>503</v>
      </c>
      <c r="C118" t="s">
        <v>504</v>
      </c>
      <c r="E118" t="s">
        <v>505</v>
      </c>
    </row>
    <row r="119" spans="1:5" x14ac:dyDescent="0.2">
      <c r="A119" t="s">
        <v>506</v>
      </c>
      <c r="B119" t="s">
        <v>507</v>
      </c>
      <c r="C119" t="s">
        <v>508</v>
      </c>
      <c r="E119" t="s">
        <v>509</v>
      </c>
    </row>
    <row r="120" spans="1:5" x14ac:dyDescent="0.2">
      <c r="A120" t="s">
        <v>510</v>
      </c>
      <c r="B120" t="s">
        <v>511</v>
      </c>
      <c r="C120" t="s">
        <v>512</v>
      </c>
      <c r="E120" t="s">
        <v>513</v>
      </c>
    </row>
    <row r="121" spans="1:5" x14ac:dyDescent="0.2">
      <c r="A121" t="s">
        <v>514</v>
      </c>
      <c r="B121" t="s">
        <v>515</v>
      </c>
      <c r="C121" t="s">
        <v>516</v>
      </c>
      <c r="E121" t="s">
        <v>517</v>
      </c>
    </row>
    <row r="122" spans="1:5" x14ac:dyDescent="0.2">
      <c r="A122" t="s">
        <v>518</v>
      </c>
      <c r="B122" t="s">
        <v>519</v>
      </c>
      <c r="C122" t="s">
        <v>520</v>
      </c>
      <c r="E122" t="s">
        <v>521</v>
      </c>
    </row>
    <row r="123" spans="1:5" x14ac:dyDescent="0.2">
      <c r="A123" t="s">
        <v>522</v>
      </c>
      <c r="B123" t="s">
        <v>523</v>
      </c>
      <c r="C123" t="s">
        <v>524</v>
      </c>
      <c r="E123" t="s">
        <v>525</v>
      </c>
    </row>
    <row r="124" spans="1:5" x14ac:dyDescent="0.2">
      <c r="A124" t="s">
        <v>526</v>
      </c>
      <c r="B124" t="s">
        <v>527</v>
      </c>
      <c r="C124" t="s">
        <v>528</v>
      </c>
      <c r="E124" t="s">
        <v>529</v>
      </c>
    </row>
    <row r="125" spans="1:5" x14ac:dyDescent="0.2">
      <c r="A125" t="s">
        <v>530</v>
      </c>
      <c r="B125" t="s">
        <v>531</v>
      </c>
      <c r="C125" t="s">
        <v>532</v>
      </c>
    </row>
    <row r="126" spans="1:5" x14ac:dyDescent="0.2">
      <c r="A126" t="s">
        <v>533</v>
      </c>
      <c r="B126" t="s">
        <v>534</v>
      </c>
      <c r="C126" t="s">
        <v>535</v>
      </c>
      <c r="E126" t="s">
        <v>536</v>
      </c>
    </row>
    <row r="127" spans="1:5" x14ac:dyDescent="0.2">
      <c r="A127" t="s">
        <v>537</v>
      </c>
      <c r="B127" t="s">
        <v>538</v>
      </c>
      <c r="C127" t="s">
        <v>539</v>
      </c>
      <c r="E127" t="s">
        <v>540</v>
      </c>
    </row>
    <row r="128" spans="1:5" x14ac:dyDescent="0.2">
      <c r="A128" t="s">
        <v>541</v>
      </c>
      <c r="B128" t="s">
        <v>542</v>
      </c>
      <c r="C128" t="s">
        <v>543</v>
      </c>
      <c r="E128" t="s">
        <v>544</v>
      </c>
    </row>
    <row r="129" spans="1:5" x14ac:dyDescent="0.2">
      <c r="A129" t="s">
        <v>545</v>
      </c>
      <c r="B129" t="s">
        <v>546</v>
      </c>
      <c r="C129" t="s">
        <v>547</v>
      </c>
      <c r="E129" t="s">
        <v>548</v>
      </c>
    </row>
    <row r="130" spans="1:5" x14ac:dyDescent="0.2">
      <c r="A130" t="s">
        <v>549</v>
      </c>
      <c r="B130" t="s">
        <v>550</v>
      </c>
      <c r="C130" t="s">
        <v>551</v>
      </c>
      <c r="E130" t="s">
        <v>552</v>
      </c>
    </row>
    <row r="131" spans="1:5" x14ac:dyDescent="0.2">
      <c r="A131" t="s">
        <v>553</v>
      </c>
      <c r="B131" t="s">
        <v>554</v>
      </c>
      <c r="C131" t="s">
        <v>555</v>
      </c>
      <c r="E131" t="s">
        <v>556</v>
      </c>
    </row>
    <row r="132" spans="1:5" x14ac:dyDescent="0.2">
      <c r="A132" t="s">
        <v>557</v>
      </c>
      <c r="B132" t="s">
        <v>558</v>
      </c>
      <c r="C132" t="s">
        <v>559</v>
      </c>
      <c r="E132" t="s">
        <v>544</v>
      </c>
    </row>
    <row r="133" spans="1:5" x14ac:dyDescent="0.2">
      <c r="A133" t="s">
        <v>560</v>
      </c>
      <c r="B133" t="s">
        <v>561</v>
      </c>
      <c r="C133" t="s">
        <v>562</v>
      </c>
      <c r="E133" t="s">
        <v>563</v>
      </c>
    </row>
    <row r="134" spans="1:5" x14ac:dyDescent="0.2">
      <c r="A134" t="s">
        <v>564</v>
      </c>
      <c r="B134" t="s">
        <v>565</v>
      </c>
      <c r="C134" t="s">
        <v>566</v>
      </c>
      <c r="E134" t="s">
        <v>567</v>
      </c>
    </row>
    <row r="135" spans="1:5" x14ac:dyDescent="0.2">
      <c r="A135" t="s">
        <v>568</v>
      </c>
      <c r="B135" t="s">
        <v>569</v>
      </c>
      <c r="C135" t="s">
        <v>570</v>
      </c>
      <c r="E135" t="s">
        <v>571</v>
      </c>
    </row>
    <row r="136" spans="1:5" x14ac:dyDescent="0.2">
      <c r="A136" t="s">
        <v>572</v>
      </c>
      <c r="B136" t="s">
        <v>573</v>
      </c>
      <c r="C136" t="s">
        <v>574</v>
      </c>
      <c r="E136" t="s">
        <v>575</v>
      </c>
    </row>
    <row r="137" spans="1:5" x14ac:dyDescent="0.2">
      <c r="A137" t="s">
        <v>576</v>
      </c>
      <c r="B137" t="s">
        <v>577</v>
      </c>
      <c r="C137" t="s">
        <v>578</v>
      </c>
      <c r="E137" t="s">
        <v>579</v>
      </c>
    </row>
    <row r="138" spans="1:5" x14ac:dyDescent="0.2">
      <c r="A138" t="s">
        <v>580</v>
      </c>
      <c r="B138" t="s">
        <v>581</v>
      </c>
      <c r="C138" t="s">
        <v>582</v>
      </c>
      <c r="E138" t="s">
        <v>583</v>
      </c>
    </row>
    <row r="139" spans="1:5" x14ac:dyDescent="0.2">
      <c r="A139" t="s">
        <v>584</v>
      </c>
      <c r="B139" t="s">
        <v>585</v>
      </c>
      <c r="C139" t="s">
        <v>586</v>
      </c>
      <c r="E139" t="s">
        <v>587</v>
      </c>
    </row>
    <row r="140" spans="1:5" x14ac:dyDescent="0.2">
      <c r="A140" t="s">
        <v>588</v>
      </c>
      <c r="B140" t="s">
        <v>589</v>
      </c>
      <c r="C140" t="s">
        <v>590</v>
      </c>
      <c r="E140" t="s">
        <v>591</v>
      </c>
    </row>
    <row r="141" spans="1:5" x14ac:dyDescent="0.2">
      <c r="A141" t="s">
        <v>592</v>
      </c>
      <c r="B141" t="s">
        <v>593</v>
      </c>
      <c r="C141" t="s">
        <v>594</v>
      </c>
      <c r="E141" t="s">
        <v>595</v>
      </c>
    </row>
    <row r="142" spans="1:5" x14ac:dyDescent="0.2">
      <c r="A142" t="s">
        <v>596</v>
      </c>
      <c r="B142" t="s">
        <v>597</v>
      </c>
      <c r="C142" t="s">
        <v>598</v>
      </c>
      <c r="E142" t="s">
        <v>599</v>
      </c>
    </row>
    <row r="143" spans="1:5" x14ac:dyDescent="0.2">
      <c r="A143" t="s">
        <v>600</v>
      </c>
      <c r="B143" t="s">
        <v>601</v>
      </c>
      <c r="C143" t="s">
        <v>602</v>
      </c>
      <c r="E143" t="s">
        <v>603</v>
      </c>
    </row>
    <row r="144" spans="1:5" x14ac:dyDescent="0.2">
      <c r="A144" t="s">
        <v>604</v>
      </c>
      <c r="B144" t="s">
        <v>605</v>
      </c>
      <c r="C144" t="s">
        <v>606</v>
      </c>
      <c r="E144" t="s">
        <v>607</v>
      </c>
    </row>
    <row r="145" spans="1:5" x14ac:dyDescent="0.2">
      <c r="A145" t="s">
        <v>608</v>
      </c>
      <c r="B145" t="s">
        <v>609</v>
      </c>
      <c r="C145" t="s">
        <v>610</v>
      </c>
      <c r="E145" t="s">
        <v>611</v>
      </c>
    </row>
    <row r="146" spans="1:5" x14ac:dyDescent="0.2">
      <c r="A146" t="s">
        <v>612</v>
      </c>
      <c r="B146" t="s">
        <v>613</v>
      </c>
      <c r="C146" t="s">
        <v>614</v>
      </c>
      <c r="E146" t="s">
        <v>615</v>
      </c>
    </row>
    <row r="147" spans="1:5" x14ac:dyDescent="0.2">
      <c r="A147" t="s">
        <v>616</v>
      </c>
      <c r="B147" t="s">
        <v>617</v>
      </c>
      <c r="C147" t="s">
        <v>618</v>
      </c>
      <c r="E147" t="s">
        <v>619</v>
      </c>
    </row>
    <row r="148" spans="1:5" x14ac:dyDescent="0.2">
      <c r="A148" t="s">
        <v>620</v>
      </c>
      <c r="B148" t="s">
        <v>621</v>
      </c>
      <c r="C148" t="s">
        <v>622</v>
      </c>
      <c r="E148" t="s">
        <v>623</v>
      </c>
    </row>
    <row r="149" spans="1:5" x14ac:dyDescent="0.2">
      <c r="A149" t="s">
        <v>624</v>
      </c>
      <c r="B149" t="s">
        <v>625</v>
      </c>
      <c r="C149" t="s">
        <v>626</v>
      </c>
    </row>
    <row r="150" spans="1:5" x14ac:dyDescent="0.2">
      <c r="A150" t="s">
        <v>627</v>
      </c>
      <c r="B150" t="s">
        <v>628</v>
      </c>
      <c r="C150" t="s">
        <v>629</v>
      </c>
      <c r="E150" t="s">
        <v>630</v>
      </c>
    </row>
    <row r="151" spans="1:5" x14ac:dyDescent="0.2">
      <c r="A151" t="s">
        <v>631</v>
      </c>
      <c r="B151" t="s">
        <v>632</v>
      </c>
      <c r="C151" t="s">
        <v>633</v>
      </c>
      <c r="E151" t="s">
        <v>634</v>
      </c>
    </row>
    <row r="152" spans="1:5" x14ac:dyDescent="0.2">
      <c r="A152" t="s">
        <v>635</v>
      </c>
      <c r="B152" t="s">
        <v>636</v>
      </c>
      <c r="C152" t="s">
        <v>637</v>
      </c>
    </row>
    <row r="153" spans="1:5" x14ac:dyDescent="0.2">
      <c r="A153" t="s">
        <v>638</v>
      </c>
      <c r="B153" t="s">
        <v>639</v>
      </c>
      <c r="C153" t="s">
        <v>640</v>
      </c>
      <c r="E153" t="s">
        <v>641</v>
      </c>
    </row>
    <row r="154" spans="1:5" x14ac:dyDescent="0.2">
      <c r="A154" t="s">
        <v>642</v>
      </c>
      <c r="B154" t="s">
        <v>643</v>
      </c>
      <c r="C154" t="s">
        <v>644</v>
      </c>
      <c r="E154" t="s">
        <v>645</v>
      </c>
    </row>
    <row r="155" spans="1:5" x14ac:dyDescent="0.2">
      <c r="A155" t="s">
        <v>646</v>
      </c>
      <c r="B155" t="s">
        <v>647</v>
      </c>
      <c r="C155" t="s">
        <v>648</v>
      </c>
      <c r="E155" t="s">
        <v>649</v>
      </c>
    </row>
    <row r="156" spans="1:5" x14ac:dyDescent="0.2">
      <c r="A156" t="s">
        <v>650</v>
      </c>
      <c r="B156" t="s">
        <v>651</v>
      </c>
      <c r="C156" t="s">
        <v>652</v>
      </c>
      <c r="E156" t="s">
        <v>396</v>
      </c>
    </row>
    <row r="157" spans="1:5" x14ac:dyDescent="0.2">
      <c r="A157" t="s">
        <v>653</v>
      </c>
      <c r="B157" t="s">
        <v>654</v>
      </c>
      <c r="C157" t="s">
        <v>655</v>
      </c>
      <c r="E157" t="s">
        <v>656</v>
      </c>
    </row>
    <row r="158" spans="1:5" x14ac:dyDescent="0.2">
      <c r="A158" t="s">
        <v>657</v>
      </c>
      <c r="B158" t="s">
        <v>658</v>
      </c>
      <c r="C158" t="s">
        <v>659</v>
      </c>
      <c r="E158" t="s">
        <v>660</v>
      </c>
    </row>
    <row r="159" spans="1:5" x14ac:dyDescent="0.2">
      <c r="A159" t="s">
        <v>661</v>
      </c>
      <c r="B159" t="s">
        <v>662</v>
      </c>
      <c r="C159" t="s">
        <v>663</v>
      </c>
      <c r="E159" t="s">
        <v>664</v>
      </c>
    </row>
    <row r="160" spans="1:5" x14ac:dyDescent="0.2">
      <c r="A160" t="s">
        <v>665</v>
      </c>
      <c r="B160" t="s">
        <v>666</v>
      </c>
      <c r="C160" t="s">
        <v>667</v>
      </c>
    </row>
    <row r="161" spans="1:5" x14ac:dyDescent="0.2">
      <c r="A161" t="s">
        <v>668</v>
      </c>
      <c r="B161" t="s">
        <v>669</v>
      </c>
      <c r="C161" t="s">
        <v>670</v>
      </c>
      <c r="E161" t="s">
        <v>671</v>
      </c>
    </row>
    <row r="162" spans="1:5" x14ac:dyDescent="0.2">
      <c r="A162" t="s">
        <v>672</v>
      </c>
      <c r="B162" t="s">
        <v>673</v>
      </c>
      <c r="C162" t="s">
        <v>674</v>
      </c>
      <c r="E162" t="s">
        <v>675</v>
      </c>
    </row>
    <row r="163" spans="1:5" x14ac:dyDescent="0.2">
      <c r="A163" t="s">
        <v>676</v>
      </c>
      <c r="B163" t="s">
        <v>677</v>
      </c>
      <c r="C163" t="s">
        <v>678</v>
      </c>
      <c r="E163" t="s">
        <v>679</v>
      </c>
    </row>
    <row r="164" spans="1:5" x14ac:dyDescent="0.2">
      <c r="A164" t="s">
        <v>680</v>
      </c>
      <c r="B164" t="s">
        <v>681</v>
      </c>
      <c r="C164" t="s">
        <v>682</v>
      </c>
      <c r="E164" t="s">
        <v>683</v>
      </c>
    </row>
    <row r="165" spans="1:5" x14ac:dyDescent="0.2">
      <c r="A165" t="s">
        <v>684</v>
      </c>
      <c r="B165" t="s">
        <v>685</v>
      </c>
      <c r="C165" t="s">
        <v>686</v>
      </c>
      <c r="E165" t="s">
        <v>687</v>
      </c>
    </row>
    <row r="166" spans="1:5" x14ac:dyDescent="0.2">
      <c r="A166" t="s">
        <v>688</v>
      </c>
      <c r="B166" t="s">
        <v>689</v>
      </c>
      <c r="C166" t="s">
        <v>690</v>
      </c>
      <c r="E166" t="s">
        <v>691</v>
      </c>
    </row>
    <row r="167" spans="1:5" x14ac:dyDescent="0.2">
      <c r="A167" t="s">
        <v>692</v>
      </c>
      <c r="B167" t="s">
        <v>693</v>
      </c>
      <c r="C167" t="s">
        <v>694</v>
      </c>
      <c r="E167" t="s">
        <v>695</v>
      </c>
    </row>
    <row r="168" spans="1:5" x14ac:dyDescent="0.2">
      <c r="A168" t="s">
        <v>696</v>
      </c>
      <c r="B168" t="s">
        <v>697</v>
      </c>
      <c r="C168" t="s">
        <v>698</v>
      </c>
      <c r="E168" t="s">
        <v>699</v>
      </c>
    </row>
    <row r="169" spans="1:5" x14ac:dyDescent="0.2">
      <c r="A169" t="s">
        <v>700</v>
      </c>
      <c r="B169" t="s">
        <v>701</v>
      </c>
      <c r="C169" t="s">
        <v>702</v>
      </c>
      <c r="E169" t="s">
        <v>703</v>
      </c>
    </row>
    <row r="170" spans="1:5" x14ac:dyDescent="0.2">
      <c r="A170" t="s">
        <v>704</v>
      </c>
      <c r="B170" t="s">
        <v>705</v>
      </c>
      <c r="C170" t="s">
        <v>706</v>
      </c>
      <c r="E170" t="s">
        <v>493</v>
      </c>
    </row>
    <row r="171" spans="1:5" x14ac:dyDescent="0.2">
      <c r="A171" t="s">
        <v>707</v>
      </c>
      <c r="B171" t="s">
        <v>708</v>
      </c>
      <c r="C171" t="s">
        <v>709</v>
      </c>
      <c r="E171" t="s">
        <v>710</v>
      </c>
    </row>
    <row r="172" spans="1:5" x14ac:dyDescent="0.2">
      <c r="A172" t="s">
        <v>711</v>
      </c>
      <c r="B172" t="s">
        <v>712</v>
      </c>
      <c r="C172" t="s">
        <v>713</v>
      </c>
      <c r="E172" t="s">
        <v>714</v>
      </c>
    </row>
    <row r="173" spans="1:5" x14ac:dyDescent="0.2">
      <c r="A173" t="s">
        <v>715</v>
      </c>
      <c r="B173" t="s">
        <v>716</v>
      </c>
      <c r="C173" t="s">
        <v>717</v>
      </c>
      <c r="E173" t="s">
        <v>718</v>
      </c>
    </row>
    <row r="174" spans="1:5" x14ac:dyDescent="0.2">
      <c r="A174" t="s">
        <v>719</v>
      </c>
      <c r="B174" t="s">
        <v>720</v>
      </c>
      <c r="C174" t="s">
        <v>721</v>
      </c>
      <c r="E174" t="s">
        <v>722</v>
      </c>
    </row>
    <row r="175" spans="1:5" x14ac:dyDescent="0.2">
      <c r="A175" t="s">
        <v>723</v>
      </c>
      <c r="B175" t="s">
        <v>724</v>
      </c>
      <c r="C175" t="s">
        <v>725</v>
      </c>
      <c r="E175" t="s">
        <v>726</v>
      </c>
    </row>
    <row r="176" spans="1:5" x14ac:dyDescent="0.2">
      <c r="A176" t="s">
        <v>727</v>
      </c>
      <c r="B176" t="s">
        <v>728</v>
      </c>
      <c r="C176" t="s">
        <v>729</v>
      </c>
      <c r="E176" t="s">
        <v>730</v>
      </c>
    </row>
    <row r="177" spans="1:5" x14ac:dyDescent="0.2">
      <c r="A177" t="s">
        <v>731</v>
      </c>
      <c r="B177" t="s">
        <v>732</v>
      </c>
      <c r="C177" t="s">
        <v>733</v>
      </c>
      <c r="E177" t="s">
        <v>734</v>
      </c>
    </row>
    <row r="178" spans="1:5" x14ac:dyDescent="0.2">
      <c r="A178" t="s">
        <v>735</v>
      </c>
      <c r="B178" t="s">
        <v>736</v>
      </c>
      <c r="C178" t="s">
        <v>737</v>
      </c>
      <c r="E178" t="s">
        <v>80</v>
      </c>
    </row>
    <row r="179" spans="1:5" x14ac:dyDescent="0.2">
      <c r="A179" t="s">
        <v>738</v>
      </c>
      <c r="B179" t="s">
        <v>739</v>
      </c>
      <c r="C179" t="s">
        <v>740</v>
      </c>
      <c r="E179" t="s">
        <v>741</v>
      </c>
    </row>
    <row r="180" spans="1:5" x14ac:dyDescent="0.2">
      <c r="A180" t="s">
        <v>742</v>
      </c>
      <c r="B180" t="s">
        <v>743</v>
      </c>
      <c r="C180" t="s">
        <v>744</v>
      </c>
    </row>
    <row r="181" spans="1:5" x14ac:dyDescent="0.2">
      <c r="A181" t="s">
        <v>745</v>
      </c>
      <c r="B181" t="s">
        <v>746</v>
      </c>
      <c r="C181" t="s">
        <v>747</v>
      </c>
      <c r="E181" t="s">
        <v>748</v>
      </c>
    </row>
    <row r="182" spans="1:5" x14ac:dyDescent="0.2">
      <c r="A182" t="s">
        <v>749</v>
      </c>
      <c r="B182" t="s">
        <v>750</v>
      </c>
      <c r="C182" t="s">
        <v>751</v>
      </c>
      <c r="E182" t="s">
        <v>752</v>
      </c>
    </row>
    <row r="183" spans="1:5" x14ac:dyDescent="0.2">
      <c r="A183" t="s">
        <v>753</v>
      </c>
      <c r="B183" t="s">
        <v>754</v>
      </c>
      <c r="C183" t="s">
        <v>755</v>
      </c>
      <c r="E183" t="s">
        <v>756</v>
      </c>
    </row>
    <row r="184" spans="1:5" x14ac:dyDescent="0.2">
      <c r="A184" t="s">
        <v>757</v>
      </c>
      <c r="B184" t="s">
        <v>758</v>
      </c>
      <c r="C184" t="s">
        <v>759</v>
      </c>
      <c r="E184" t="s">
        <v>760</v>
      </c>
    </row>
    <row r="185" spans="1:5" x14ac:dyDescent="0.2">
      <c r="A185" t="s">
        <v>761</v>
      </c>
      <c r="B185" t="s">
        <v>762</v>
      </c>
      <c r="C185" t="s">
        <v>763</v>
      </c>
      <c r="E185" t="s">
        <v>764</v>
      </c>
    </row>
    <row r="186" spans="1:5" x14ac:dyDescent="0.2">
      <c r="A186" t="s">
        <v>765</v>
      </c>
      <c r="B186" t="s">
        <v>766</v>
      </c>
      <c r="C186" t="s">
        <v>767</v>
      </c>
      <c r="E186" t="s">
        <v>734</v>
      </c>
    </row>
    <row r="187" spans="1:5" x14ac:dyDescent="0.2">
      <c r="A187" t="s">
        <v>768</v>
      </c>
      <c r="B187" t="s">
        <v>769</v>
      </c>
      <c r="C187" t="s">
        <v>770</v>
      </c>
      <c r="E187" t="s">
        <v>771</v>
      </c>
    </row>
    <row r="188" spans="1:5" x14ac:dyDescent="0.2">
      <c r="A188" t="s">
        <v>772</v>
      </c>
      <c r="B188" t="s">
        <v>773</v>
      </c>
      <c r="C188" t="s">
        <v>774</v>
      </c>
      <c r="E188" t="s">
        <v>775</v>
      </c>
    </row>
    <row r="189" spans="1:5" x14ac:dyDescent="0.2">
      <c r="A189" t="s">
        <v>776</v>
      </c>
      <c r="B189" t="s">
        <v>777</v>
      </c>
      <c r="C189" t="s">
        <v>778</v>
      </c>
      <c r="E189" t="s">
        <v>775</v>
      </c>
    </row>
    <row r="190" spans="1:5" x14ac:dyDescent="0.2">
      <c r="A190" t="s">
        <v>779</v>
      </c>
      <c r="B190" t="s">
        <v>780</v>
      </c>
      <c r="C190" t="s">
        <v>781</v>
      </c>
      <c r="E190" t="s">
        <v>782</v>
      </c>
    </row>
    <row r="191" spans="1:5" x14ac:dyDescent="0.2">
      <c r="A191" t="s">
        <v>783</v>
      </c>
      <c r="B191" t="s">
        <v>784</v>
      </c>
      <c r="C191" t="s">
        <v>785</v>
      </c>
    </row>
    <row r="192" spans="1:5" x14ac:dyDescent="0.2">
      <c r="A192" t="s">
        <v>786</v>
      </c>
      <c r="B192" t="s">
        <v>787</v>
      </c>
      <c r="C192" t="s">
        <v>788</v>
      </c>
      <c r="E192" t="s">
        <v>789</v>
      </c>
    </row>
    <row r="193" spans="1:5" x14ac:dyDescent="0.2">
      <c r="A193" t="s">
        <v>790</v>
      </c>
      <c r="B193" t="s">
        <v>791</v>
      </c>
      <c r="C193" t="s">
        <v>792</v>
      </c>
    </row>
    <row r="194" spans="1:5" x14ac:dyDescent="0.2">
      <c r="A194" t="s">
        <v>793</v>
      </c>
      <c r="B194" t="s">
        <v>794</v>
      </c>
      <c r="C194" t="s">
        <v>795</v>
      </c>
      <c r="E194" t="s">
        <v>796</v>
      </c>
    </row>
    <row r="195" spans="1:5" x14ac:dyDescent="0.2">
      <c r="A195" t="s">
        <v>797</v>
      </c>
      <c r="B195" t="s">
        <v>798</v>
      </c>
      <c r="C195" t="s">
        <v>799</v>
      </c>
      <c r="E195" t="s">
        <v>800</v>
      </c>
    </row>
    <row r="196" spans="1:5" x14ac:dyDescent="0.2">
      <c r="A196" t="s">
        <v>801</v>
      </c>
      <c r="B196" t="s">
        <v>802</v>
      </c>
      <c r="C196" t="s">
        <v>803</v>
      </c>
      <c r="E196" t="s">
        <v>804</v>
      </c>
    </row>
    <row r="197" spans="1:5" x14ac:dyDescent="0.2">
      <c r="A197" t="s">
        <v>805</v>
      </c>
      <c r="B197" t="s">
        <v>806</v>
      </c>
      <c r="C197" t="s">
        <v>807</v>
      </c>
      <c r="E197" t="s">
        <v>808</v>
      </c>
    </row>
    <row r="198" spans="1:5" x14ac:dyDescent="0.2">
      <c r="A198" t="s">
        <v>809</v>
      </c>
      <c r="B198" t="s">
        <v>810</v>
      </c>
      <c r="C198" t="s">
        <v>811</v>
      </c>
      <c r="E198" t="s">
        <v>812</v>
      </c>
    </row>
    <row r="199" spans="1:5" x14ac:dyDescent="0.2">
      <c r="A199" t="s">
        <v>813</v>
      </c>
      <c r="B199" t="s">
        <v>814</v>
      </c>
      <c r="C199" t="s">
        <v>815</v>
      </c>
    </row>
    <row r="200" spans="1:5" x14ac:dyDescent="0.2">
      <c r="A200" t="s">
        <v>816</v>
      </c>
      <c r="B200" t="s">
        <v>817</v>
      </c>
      <c r="C200" t="s">
        <v>818</v>
      </c>
      <c r="E200" t="s">
        <v>819</v>
      </c>
    </row>
    <row r="201" spans="1:5" x14ac:dyDescent="0.2">
      <c r="A201" t="s">
        <v>820</v>
      </c>
      <c r="B201" t="s">
        <v>821</v>
      </c>
      <c r="C201" t="s">
        <v>822</v>
      </c>
      <c r="E201" t="s">
        <v>823</v>
      </c>
    </row>
    <row r="202" spans="1:5" x14ac:dyDescent="0.2">
      <c r="A202" t="s">
        <v>824</v>
      </c>
      <c r="B202" t="s">
        <v>825</v>
      </c>
      <c r="C202" t="s">
        <v>826</v>
      </c>
      <c r="E202" t="s">
        <v>827</v>
      </c>
    </row>
    <row r="203" spans="1:5" x14ac:dyDescent="0.2">
      <c r="A203" t="s">
        <v>828</v>
      </c>
      <c r="B203" t="s">
        <v>829</v>
      </c>
      <c r="C203" t="s">
        <v>830</v>
      </c>
      <c r="E203" t="s">
        <v>831</v>
      </c>
    </row>
    <row r="204" spans="1:5" x14ac:dyDescent="0.2">
      <c r="A204" t="s">
        <v>832</v>
      </c>
      <c r="B204" t="s">
        <v>833</v>
      </c>
      <c r="C204" t="s">
        <v>834</v>
      </c>
      <c r="E204" t="s">
        <v>835</v>
      </c>
    </row>
    <row r="205" spans="1:5" x14ac:dyDescent="0.2">
      <c r="A205" t="s">
        <v>836</v>
      </c>
      <c r="B205" t="s">
        <v>837</v>
      </c>
      <c r="C205" t="s">
        <v>838</v>
      </c>
    </row>
    <row r="206" spans="1:5" x14ac:dyDescent="0.2">
      <c r="A206" t="s">
        <v>839</v>
      </c>
      <c r="B206" t="s">
        <v>840</v>
      </c>
      <c r="C206" t="s">
        <v>841</v>
      </c>
      <c r="E206" t="s">
        <v>842</v>
      </c>
    </row>
    <row r="207" spans="1:5" x14ac:dyDescent="0.2">
      <c r="A207" t="s">
        <v>843</v>
      </c>
      <c r="B207" t="s">
        <v>844</v>
      </c>
      <c r="C207" t="s">
        <v>845</v>
      </c>
      <c r="E207" t="s">
        <v>846</v>
      </c>
    </row>
    <row r="208" spans="1:5" x14ac:dyDescent="0.2">
      <c r="A208" t="s">
        <v>847</v>
      </c>
      <c r="B208" t="s">
        <v>848</v>
      </c>
      <c r="C208" t="s">
        <v>849</v>
      </c>
      <c r="E208" t="s">
        <v>850</v>
      </c>
    </row>
    <row r="209" spans="1:5" x14ac:dyDescent="0.2">
      <c r="A209" t="s">
        <v>851</v>
      </c>
      <c r="B209" t="s">
        <v>852</v>
      </c>
      <c r="C209" t="s">
        <v>853</v>
      </c>
      <c r="E209" t="s">
        <v>854</v>
      </c>
    </row>
    <row r="210" spans="1:5" x14ac:dyDescent="0.2">
      <c r="A210" t="s">
        <v>855</v>
      </c>
      <c r="B210" t="s">
        <v>856</v>
      </c>
      <c r="C210" t="s">
        <v>857</v>
      </c>
    </row>
    <row r="211" spans="1:5" x14ac:dyDescent="0.2">
      <c r="A211" t="s">
        <v>858</v>
      </c>
      <c r="B211" t="s">
        <v>859</v>
      </c>
      <c r="C211" t="s">
        <v>860</v>
      </c>
    </row>
    <row r="212" spans="1:5" x14ac:dyDescent="0.2">
      <c r="A212" t="s">
        <v>861</v>
      </c>
      <c r="B212" t="s">
        <v>862</v>
      </c>
      <c r="C212" t="s">
        <v>863</v>
      </c>
      <c r="E212" t="s">
        <v>864</v>
      </c>
    </row>
    <row r="213" spans="1:5" x14ac:dyDescent="0.2">
      <c r="A213" t="s">
        <v>865</v>
      </c>
      <c r="B213" t="s">
        <v>866</v>
      </c>
      <c r="C213" t="s">
        <v>867</v>
      </c>
      <c r="E213" t="s">
        <v>868</v>
      </c>
    </row>
    <row r="214" spans="1:5" x14ac:dyDescent="0.2">
      <c r="A214" t="s">
        <v>869</v>
      </c>
      <c r="B214" t="s">
        <v>870</v>
      </c>
      <c r="C214" t="s">
        <v>871</v>
      </c>
      <c r="E214" t="s">
        <v>872</v>
      </c>
    </row>
    <row r="215" spans="1:5" x14ac:dyDescent="0.2">
      <c r="A215" t="s">
        <v>873</v>
      </c>
      <c r="B215" t="s">
        <v>874</v>
      </c>
      <c r="C215" t="s">
        <v>875</v>
      </c>
      <c r="E215" t="s">
        <v>876</v>
      </c>
    </row>
    <row r="216" spans="1:5" x14ac:dyDescent="0.2">
      <c r="A216" t="s">
        <v>877</v>
      </c>
      <c r="B216" t="s">
        <v>878</v>
      </c>
      <c r="C216" t="s">
        <v>879</v>
      </c>
      <c r="E216" t="s">
        <v>880</v>
      </c>
    </row>
    <row r="217" spans="1:5" x14ac:dyDescent="0.2">
      <c r="A217" t="s">
        <v>881</v>
      </c>
      <c r="B217" t="s">
        <v>882</v>
      </c>
      <c r="C217" t="s">
        <v>883</v>
      </c>
      <c r="E217" t="s">
        <v>591</v>
      </c>
    </row>
    <row r="218" spans="1:5" x14ac:dyDescent="0.2">
      <c r="A218" t="s">
        <v>884</v>
      </c>
      <c r="B218" t="s">
        <v>885</v>
      </c>
      <c r="C218" t="s">
        <v>886</v>
      </c>
      <c r="E218" t="s">
        <v>887</v>
      </c>
    </row>
    <row r="219" spans="1:5" x14ac:dyDescent="0.2">
      <c r="A219" t="s">
        <v>888</v>
      </c>
      <c r="B219" t="s">
        <v>889</v>
      </c>
      <c r="C219" t="s">
        <v>890</v>
      </c>
      <c r="E219" t="s">
        <v>891</v>
      </c>
    </row>
    <row r="220" spans="1:5" x14ac:dyDescent="0.2">
      <c r="A220" t="s">
        <v>892</v>
      </c>
      <c r="B220" t="s">
        <v>893</v>
      </c>
      <c r="C220" t="s">
        <v>894</v>
      </c>
      <c r="E220" t="s">
        <v>895</v>
      </c>
    </row>
    <row r="221" spans="1:5" x14ac:dyDescent="0.2">
      <c r="A221" t="s">
        <v>896</v>
      </c>
      <c r="B221" t="s">
        <v>897</v>
      </c>
      <c r="C221" t="s">
        <v>898</v>
      </c>
      <c r="E221" t="s">
        <v>899</v>
      </c>
    </row>
    <row r="222" spans="1:5" x14ac:dyDescent="0.2">
      <c r="A222" t="s">
        <v>900</v>
      </c>
      <c r="B222" t="s">
        <v>901</v>
      </c>
      <c r="C222" t="s">
        <v>902</v>
      </c>
      <c r="E222" t="s">
        <v>903</v>
      </c>
    </row>
    <row r="223" spans="1:5" x14ac:dyDescent="0.2">
      <c r="A223" t="s">
        <v>904</v>
      </c>
      <c r="B223" t="s">
        <v>905</v>
      </c>
      <c r="C223" t="s">
        <v>906</v>
      </c>
      <c r="E223" t="s">
        <v>907</v>
      </c>
    </row>
    <row r="224" spans="1:5" x14ac:dyDescent="0.2">
      <c r="A224" t="s">
        <v>908</v>
      </c>
      <c r="B224" t="s">
        <v>909</v>
      </c>
      <c r="C224" t="s">
        <v>910</v>
      </c>
      <c r="E224" t="s">
        <v>911</v>
      </c>
    </row>
    <row r="225" spans="1:5" x14ac:dyDescent="0.2">
      <c r="A225" t="s">
        <v>912</v>
      </c>
      <c r="B225" t="s">
        <v>913</v>
      </c>
      <c r="C225" t="s">
        <v>914</v>
      </c>
      <c r="E225" t="s">
        <v>915</v>
      </c>
    </row>
    <row r="226" spans="1:5" x14ac:dyDescent="0.2">
      <c r="A226" t="s">
        <v>916</v>
      </c>
      <c r="B226" t="s">
        <v>917</v>
      </c>
      <c r="C226" t="s">
        <v>918</v>
      </c>
      <c r="E226" t="s">
        <v>919</v>
      </c>
    </row>
    <row r="227" spans="1:5" x14ac:dyDescent="0.2">
      <c r="A227" t="s">
        <v>920</v>
      </c>
      <c r="B227" t="s">
        <v>921</v>
      </c>
      <c r="C227" t="s">
        <v>922</v>
      </c>
      <c r="E227" t="s">
        <v>923</v>
      </c>
    </row>
    <row r="228" spans="1:5" x14ac:dyDescent="0.2">
      <c r="A228" t="s">
        <v>924</v>
      </c>
      <c r="B228" t="s">
        <v>925</v>
      </c>
      <c r="C228" t="s">
        <v>926</v>
      </c>
      <c r="E228" t="s">
        <v>927</v>
      </c>
    </row>
    <row r="229" spans="1:5" x14ac:dyDescent="0.2">
      <c r="A229" t="s">
        <v>928</v>
      </c>
      <c r="B229" t="s">
        <v>929</v>
      </c>
      <c r="C229" t="s">
        <v>930</v>
      </c>
      <c r="E229" t="s">
        <v>931</v>
      </c>
    </row>
    <row r="230" spans="1:5" x14ac:dyDescent="0.2">
      <c r="A230" t="s">
        <v>932</v>
      </c>
      <c r="B230" t="s">
        <v>933</v>
      </c>
      <c r="C230" t="s">
        <v>934</v>
      </c>
      <c r="E230" t="s">
        <v>935</v>
      </c>
    </row>
    <row r="231" spans="1:5" x14ac:dyDescent="0.2">
      <c r="A231" t="s">
        <v>936</v>
      </c>
      <c r="B231" t="s">
        <v>937</v>
      </c>
      <c r="C231" t="s">
        <v>938</v>
      </c>
      <c r="E231" t="s">
        <v>939</v>
      </c>
    </row>
    <row r="232" spans="1:5" x14ac:dyDescent="0.2">
      <c r="A232" t="s">
        <v>940</v>
      </c>
      <c r="B232" t="s">
        <v>941</v>
      </c>
      <c r="C232" t="s">
        <v>942</v>
      </c>
      <c r="E232" t="s">
        <v>943</v>
      </c>
    </row>
    <row r="233" spans="1:5" x14ac:dyDescent="0.2">
      <c r="A233" t="s">
        <v>944</v>
      </c>
      <c r="B233" t="s">
        <v>945</v>
      </c>
      <c r="C233" t="s">
        <v>946</v>
      </c>
    </row>
    <row r="234" spans="1:5" x14ac:dyDescent="0.2">
      <c r="A234" t="s">
        <v>947</v>
      </c>
      <c r="B234" t="s">
        <v>948</v>
      </c>
      <c r="C234" t="s">
        <v>949</v>
      </c>
      <c r="E234" t="s">
        <v>950</v>
      </c>
    </row>
    <row r="235" spans="1:5" x14ac:dyDescent="0.2">
      <c r="A235" t="s">
        <v>951</v>
      </c>
      <c r="B235" t="s">
        <v>952</v>
      </c>
      <c r="C235" t="s">
        <v>953</v>
      </c>
    </row>
    <row r="236" spans="1:5" x14ac:dyDescent="0.2">
      <c r="A236" t="s">
        <v>954</v>
      </c>
      <c r="B236" t="s">
        <v>955</v>
      </c>
      <c r="C236" t="s">
        <v>956</v>
      </c>
      <c r="E236" t="s">
        <v>957</v>
      </c>
    </row>
    <row r="237" spans="1:5" x14ac:dyDescent="0.2">
      <c r="A237" t="s">
        <v>958</v>
      </c>
      <c r="B237" t="s">
        <v>959</v>
      </c>
      <c r="C237" t="s">
        <v>960</v>
      </c>
      <c r="E237" t="s">
        <v>961</v>
      </c>
    </row>
    <row r="238" spans="1:5" x14ac:dyDescent="0.2">
      <c r="A238" t="s">
        <v>962</v>
      </c>
      <c r="B238" t="s">
        <v>963</v>
      </c>
      <c r="C238" t="s">
        <v>964</v>
      </c>
      <c r="E238" t="s">
        <v>965</v>
      </c>
    </row>
    <row r="239" spans="1:5" x14ac:dyDescent="0.2">
      <c r="A239" t="s">
        <v>966</v>
      </c>
      <c r="B239" t="s">
        <v>967</v>
      </c>
      <c r="C239" t="s">
        <v>968</v>
      </c>
      <c r="E239" t="s">
        <v>969</v>
      </c>
    </row>
    <row r="240" spans="1:5" x14ac:dyDescent="0.2">
      <c r="A240" t="s">
        <v>970</v>
      </c>
      <c r="B240" t="s">
        <v>971</v>
      </c>
      <c r="C240" t="s">
        <v>972</v>
      </c>
    </row>
    <row r="241" spans="1:5" x14ac:dyDescent="0.2">
      <c r="A241" t="s">
        <v>973</v>
      </c>
      <c r="B241" t="s">
        <v>974</v>
      </c>
      <c r="C241" t="s">
        <v>975</v>
      </c>
      <c r="E241" t="s">
        <v>976</v>
      </c>
    </row>
    <row r="242" spans="1:5" x14ac:dyDescent="0.2">
      <c r="A242" t="s">
        <v>977</v>
      </c>
      <c r="B242" t="s">
        <v>978</v>
      </c>
      <c r="C242" t="s">
        <v>979</v>
      </c>
      <c r="E242" t="s">
        <v>980</v>
      </c>
    </row>
    <row r="243" spans="1:5" x14ac:dyDescent="0.2">
      <c r="A243" t="s">
        <v>981</v>
      </c>
      <c r="B243" t="s">
        <v>982</v>
      </c>
      <c r="C243" t="s">
        <v>983</v>
      </c>
      <c r="E243" t="s">
        <v>984</v>
      </c>
    </row>
    <row r="244" spans="1:5" x14ac:dyDescent="0.2">
      <c r="A244" t="s">
        <v>985</v>
      </c>
      <c r="B244" t="s">
        <v>986</v>
      </c>
      <c r="C244" t="s">
        <v>987</v>
      </c>
      <c r="E244" t="s">
        <v>988</v>
      </c>
    </row>
    <row r="245" spans="1:5" x14ac:dyDescent="0.2">
      <c r="A245" t="s">
        <v>989</v>
      </c>
      <c r="B245" t="s">
        <v>990</v>
      </c>
      <c r="C245" t="s">
        <v>991</v>
      </c>
      <c r="E245" t="s">
        <v>992</v>
      </c>
    </row>
    <row r="246" spans="1:5" x14ac:dyDescent="0.2">
      <c r="A246" t="s">
        <v>993</v>
      </c>
      <c r="B246" t="s">
        <v>994</v>
      </c>
      <c r="C246" t="s">
        <v>995</v>
      </c>
      <c r="E246" t="s">
        <v>996</v>
      </c>
    </row>
    <row r="247" spans="1:5" x14ac:dyDescent="0.2">
      <c r="A247" t="s">
        <v>997</v>
      </c>
      <c r="B247" t="s">
        <v>998</v>
      </c>
      <c r="C247" t="s">
        <v>999</v>
      </c>
      <c r="E247" t="s">
        <v>1000</v>
      </c>
    </row>
    <row r="248" spans="1:5" x14ac:dyDescent="0.2">
      <c r="A248" t="s">
        <v>1001</v>
      </c>
      <c r="B248" t="s">
        <v>1002</v>
      </c>
      <c r="C248" t="s">
        <v>1003</v>
      </c>
      <c r="E248" t="s">
        <v>1004</v>
      </c>
    </row>
    <row r="249" spans="1:5" x14ac:dyDescent="0.2">
      <c r="A249" t="s">
        <v>1005</v>
      </c>
      <c r="B249" t="s">
        <v>1006</v>
      </c>
      <c r="C249" t="s">
        <v>1007</v>
      </c>
      <c r="E249" t="s">
        <v>1008</v>
      </c>
    </row>
    <row r="250" spans="1:5" x14ac:dyDescent="0.2">
      <c r="A250" t="s">
        <v>1009</v>
      </c>
      <c r="B250" t="s">
        <v>1010</v>
      </c>
      <c r="C250" t="s">
        <v>1011</v>
      </c>
      <c r="E250" t="s">
        <v>1012</v>
      </c>
    </row>
    <row r="251" spans="1:5" x14ac:dyDescent="0.2">
      <c r="A251" t="s">
        <v>1013</v>
      </c>
      <c r="B251" t="s">
        <v>1014</v>
      </c>
      <c r="C251" t="s">
        <v>1015</v>
      </c>
      <c r="E251" t="s">
        <v>1016</v>
      </c>
    </row>
    <row r="252" spans="1:5" x14ac:dyDescent="0.2">
      <c r="A252" t="s">
        <v>1017</v>
      </c>
      <c r="B252" t="s">
        <v>1018</v>
      </c>
      <c r="C252" t="s">
        <v>1019</v>
      </c>
      <c r="E252" t="s">
        <v>1020</v>
      </c>
    </row>
    <row r="253" spans="1:5" x14ac:dyDescent="0.2">
      <c r="A253" t="s">
        <v>1021</v>
      </c>
      <c r="B253" t="s">
        <v>1022</v>
      </c>
      <c r="C253" t="s">
        <v>1023</v>
      </c>
      <c r="E253" t="s">
        <v>1024</v>
      </c>
    </row>
    <row r="254" spans="1:5" x14ac:dyDescent="0.2">
      <c r="C254" t="s">
        <v>1025</v>
      </c>
      <c r="E254" t="s">
        <v>1026</v>
      </c>
    </row>
    <row r="255" spans="1:5" x14ac:dyDescent="0.2">
      <c r="C255" t="s">
        <v>1027</v>
      </c>
      <c r="E255" t="s">
        <v>1028</v>
      </c>
    </row>
    <row r="256" spans="1:5" x14ac:dyDescent="0.2">
      <c r="C256" t="s">
        <v>1029</v>
      </c>
    </row>
    <row r="257" spans="3:5" x14ac:dyDescent="0.2">
      <c r="C257" t="s">
        <v>1030</v>
      </c>
      <c r="E257" t="s">
        <v>1031</v>
      </c>
    </row>
    <row r="258" spans="3:5" x14ac:dyDescent="0.2">
      <c r="C258" t="s">
        <v>1032</v>
      </c>
      <c r="E258" t="s">
        <v>1033</v>
      </c>
    </row>
    <row r="259" spans="3:5" x14ac:dyDescent="0.2">
      <c r="C259" t="s">
        <v>1034</v>
      </c>
      <c r="E259" t="s">
        <v>1035</v>
      </c>
    </row>
    <row r="260" spans="3:5" x14ac:dyDescent="0.2">
      <c r="C260" t="s">
        <v>1036</v>
      </c>
      <c r="E260" t="s">
        <v>1037</v>
      </c>
    </row>
    <row r="261" spans="3:5" x14ac:dyDescent="0.2">
      <c r="C261" t="s">
        <v>1038</v>
      </c>
      <c r="E261" t="s">
        <v>1039</v>
      </c>
    </row>
    <row r="262" spans="3:5" x14ac:dyDescent="0.2">
      <c r="C262" t="s">
        <v>1040</v>
      </c>
      <c r="E262" t="s">
        <v>80</v>
      </c>
    </row>
    <row r="263" spans="3:5" x14ac:dyDescent="0.2">
      <c r="C263" t="s">
        <v>1041</v>
      </c>
      <c r="E263" t="s">
        <v>1042</v>
      </c>
    </row>
    <row r="264" spans="3:5" x14ac:dyDescent="0.2">
      <c r="C264" t="s">
        <v>1043</v>
      </c>
      <c r="E264" t="s">
        <v>1044</v>
      </c>
    </row>
    <row r="265" spans="3:5" x14ac:dyDescent="0.2">
      <c r="C265" t="s">
        <v>1045</v>
      </c>
      <c r="E265" t="s">
        <v>1046</v>
      </c>
    </row>
    <row r="266" spans="3:5" x14ac:dyDescent="0.2">
      <c r="C266" t="s">
        <v>1047</v>
      </c>
      <c r="E266" t="s">
        <v>1048</v>
      </c>
    </row>
    <row r="267" spans="3:5" x14ac:dyDescent="0.2">
      <c r="C267" t="s">
        <v>1049</v>
      </c>
      <c r="E267" t="s">
        <v>1050</v>
      </c>
    </row>
    <row r="268" spans="3:5" x14ac:dyDescent="0.2">
      <c r="C268" t="s">
        <v>1051</v>
      </c>
      <c r="E268" t="s">
        <v>1052</v>
      </c>
    </row>
    <row r="269" spans="3:5" x14ac:dyDescent="0.2">
      <c r="C269" t="s">
        <v>1053</v>
      </c>
      <c r="E269" t="s">
        <v>1054</v>
      </c>
    </row>
    <row r="270" spans="3:5" x14ac:dyDescent="0.2">
      <c r="C270" t="s">
        <v>1055</v>
      </c>
      <c r="E270" t="s">
        <v>1056</v>
      </c>
    </row>
    <row r="271" spans="3:5" x14ac:dyDescent="0.2">
      <c r="C271" t="s">
        <v>1057</v>
      </c>
      <c r="E271" t="s">
        <v>1058</v>
      </c>
    </row>
    <row r="272" spans="3:5" x14ac:dyDescent="0.2">
      <c r="C272" t="s">
        <v>1059</v>
      </c>
      <c r="E272" t="s">
        <v>1060</v>
      </c>
    </row>
    <row r="273" spans="3:5" x14ac:dyDescent="0.2">
      <c r="C273" t="s">
        <v>1061</v>
      </c>
      <c r="E273" t="s">
        <v>1062</v>
      </c>
    </row>
    <row r="274" spans="3:5" x14ac:dyDescent="0.2">
      <c r="C274" t="s">
        <v>1063</v>
      </c>
      <c r="E274" t="s">
        <v>1064</v>
      </c>
    </row>
    <row r="275" spans="3:5" x14ac:dyDescent="0.2">
      <c r="C275" t="s">
        <v>1065</v>
      </c>
      <c r="E275" t="s">
        <v>1066</v>
      </c>
    </row>
    <row r="276" spans="3:5" x14ac:dyDescent="0.2">
      <c r="C276" t="s">
        <v>1067</v>
      </c>
      <c r="E276" t="s">
        <v>1068</v>
      </c>
    </row>
    <row r="277" spans="3:5" x14ac:dyDescent="0.2">
      <c r="C277" t="s">
        <v>1069</v>
      </c>
      <c r="E277" t="s">
        <v>1068</v>
      </c>
    </row>
    <row r="278" spans="3:5" x14ac:dyDescent="0.2">
      <c r="C278" t="s">
        <v>1070</v>
      </c>
      <c r="E278" t="s">
        <v>1071</v>
      </c>
    </row>
    <row r="279" spans="3:5" x14ac:dyDescent="0.2">
      <c r="C279" t="s">
        <v>1072</v>
      </c>
    </row>
    <row r="280" spans="3:5" x14ac:dyDescent="0.2">
      <c r="C280" t="s">
        <v>1073</v>
      </c>
      <c r="E280" t="s">
        <v>1062</v>
      </c>
    </row>
    <row r="281" spans="3:5" x14ac:dyDescent="0.2">
      <c r="C281" t="s">
        <v>1074</v>
      </c>
      <c r="E281" t="s">
        <v>1075</v>
      </c>
    </row>
    <row r="282" spans="3:5" x14ac:dyDescent="0.2">
      <c r="C282" t="s">
        <v>1076</v>
      </c>
      <c r="E282" t="s">
        <v>1077</v>
      </c>
    </row>
    <row r="283" spans="3:5" x14ac:dyDescent="0.2">
      <c r="C283" t="s">
        <v>1078</v>
      </c>
      <c r="E283" t="s">
        <v>1079</v>
      </c>
    </row>
    <row r="284" spans="3:5" x14ac:dyDescent="0.2">
      <c r="C284" t="s">
        <v>1080</v>
      </c>
      <c r="E284" t="s">
        <v>1081</v>
      </c>
    </row>
    <row r="285" spans="3:5" x14ac:dyDescent="0.2">
      <c r="C285" t="s">
        <v>1082</v>
      </c>
    </row>
    <row r="286" spans="3:5" x14ac:dyDescent="0.2">
      <c r="C286" t="s">
        <v>1083</v>
      </c>
    </row>
    <row r="287" spans="3:5" x14ac:dyDescent="0.2">
      <c r="C287" t="s">
        <v>1084</v>
      </c>
      <c r="E287" t="s">
        <v>1085</v>
      </c>
    </row>
    <row r="288" spans="3:5" x14ac:dyDescent="0.2">
      <c r="C288" t="s">
        <v>1086</v>
      </c>
      <c r="E288" t="s">
        <v>1087</v>
      </c>
    </row>
    <row r="289" spans="3:5" x14ac:dyDescent="0.2">
      <c r="C289" t="s">
        <v>1088</v>
      </c>
    </row>
    <row r="290" spans="3:5" x14ac:dyDescent="0.2">
      <c r="C290" t="s">
        <v>1089</v>
      </c>
      <c r="E290" t="s">
        <v>1090</v>
      </c>
    </row>
    <row r="291" spans="3:5" x14ac:dyDescent="0.2">
      <c r="C291" t="s">
        <v>1091</v>
      </c>
      <c r="E291" t="s">
        <v>1092</v>
      </c>
    </row>
    <row r="292" spans="3:5" x14ac:dyDescent="0.2">
      <c r="C292" t="s">
        <v>1093</v>
      </c>
      <c r="E292" t="s">
        <v>1094</v>
      </c>
    </row>
    <row r="293" spans="3:5" x14ac:dyDescent="0.2">
      <c r="C293" t="s">
        <v>1095</v>
      </c>
      <c r="E293" t="s">
        <v>1096</v>
      </c>
    </row>
    <row r="294" spans="3:5" x14ac:dyDescent="0.2">
      <c r="C294" t="s">
        <v>1097</v>
      </c>
      <c r="E294" t="s">
        <v>1098</v>
      </c>
    </row>
    <row r="295" spans="3:5" x14ac:dyDescent="0.2">
      <c r="C295" t="s">
        <v>1099</v>
      </c>
      <c r="E295" t="s">
        <v>1100</v>
      </c>
    </row>
    <row r="296" spans="3:5" x14ac:dyDescent="0.2">
      <c r="C296" t="s">
        <v>1101</v>
      </c>
      <c r="E296" t="s">
        <v>1102</v>
      </c>
    </row>
    <row r="297" spans="3:5" x14ac:dyDescent="0.2">
      <c r="C297" t="s">
        <v>1103</v>
      </c>
      <c r="E297" t="s">
        <v>1104</v>
      </c>
    </row>
    <row r="298" spans="3:5" x14ac:dyDescent="0.2">
      <c r="C298" t="s">
        <v>1105</v>
      </c>
      <c r="E298" t="s">
        <v>1106</v>
      </c>
    </row>
    <row r="299" spans="3:5" x14ac:dyDescent="0.2">
      <c r="C299" t="s">
        <v>1107</v>
      </c>
    </row>
    <row r="300" spans="3:5" x14ac:dyDescent="0.2">
      <c r="C300" t="s">
        <v>1108</v>
      </c>
    </row>
    <row r="301" spans="3:5" x14ac:dyDescent="0.2">
      <c r="C301" t="s">
        <v>1109</v>
      </c>
      <c r="E301" t="s">
        <v>1110</v>
      </c>
    </row>
    <row r="302" spans="3:5" x14ac:dyDescent="0.2">
      <c r="C302" t="s">
        <v>1111</v>
      </c>
      <c r="E302" t="s">
        <v>1112</v>
      </c>
    </row>
    <row r="303" spans="3:5" x14ac:dyDescent="0.2">
      <c r="C303" t="s">
        <v>1113</v>
      </c>
      <c r="E303" t="s">
        <v>1114</v>
      </c>
    </row>
    <row r="304" spans="3:5" x14ac:dyDescent="0.2">
      <c r="C304" t="s">
        <v>1115</v>
      </c>
      <c r="E304" t="s">
        <v>1116</v>
      </c>
    </row>
    <row r="305" spans="3:5" x14ac:dyDescent="0.2">
      <c r="C305" t="s">
        <v>1117</v>
      </c>
      <c r="E305" t="s">
        <v>976</v>
      </c>
    </row>
    <row r="306" spans="3:5" x14ac:dyDescent="0.2">
      <c r="C306" t="s">
        <v>1118</v>
      </c>
      <c r="E306" t="s">
        <v>1119</v>
      </c>
    </row>
    <row r="307" spans="3:5" x14ac:dyDescent="0.2">
      <c r="C307" t="s">
        <v>1120</v>
      </c>
      <c r="E307" t="s">
        <v>1121</v>
      </c>
    </row>
    <row r="308" spans="3:5" x14ac:dyDescent="0.2">
      <c r="C308" t="s">
        <v>1122</v>
      </c>
      <c r="E308" t="s">
        <v>1123</v>
      </c>
    </row>
    <row r="309" spans="3:5" x14ac:dyDescent="0.2">
      <c r="C309" t="s">
        <v>1124</v>
      </c>
      <c r="E309" t="s">
        <v>1119</v>
      </c>
    </row>
    <row r="310" spans="3:5" x14ac:dyDescent="0.2">
      <c r="C310" t="s">
        <v>1125</v>
      </c>
    </row>
    <row r="311" spans="3:5" x14ac:dyDescent="0.2">
      <c r="C311" t="s">
        <v>1126</v>
      </c>
      <c r="E311" t="s">
        <v>1127</v>
      </c>
    </row>
    <row r="312" spans="3:5" x14ac:dyDescent="0.2">
      <c r="C312" t="s">
        <v>1128</v>
      </c>
      <c r="E312" t="s">
        <v>1129</v>
      </c>
    </row>
    <row r="313" spans="3:5" x14ac:dyDescent="0.2">
      <c r="C313" t="s">
        <v>1130</v>
      </c>
      <c r="E313" t="s">
        <v>1131</v>
      </c>
    </row>
    <row r="314" spans="3:5" x14ac:dyDescent="0.2">
      <c r="C314" t="s">
        <v>1132</v>
      </c>
      <c r="E314" t="s">
        <v>1133</v>
      </c>
    </row>
    <row r="315" spans="3:5" x14ac:dyDescent="0.2">
      <c r="C315" t="s">
        <v>1134</v>
      </c>
      <c r="E315" t="s">
        <v>1135</v>
      </c>
    </row>
    <row r="316" spans="3:5" x14ac:dyDescent="0.2">
      <c r="C316" t="s">
        <v>1136</v>
      </c>
      <c r="E316" t="s">
        <v>1137</v>
      </c>
    </row>
    <row r="317" spans="3:5" x14ac:dyDescent="0.2">
      <c r="C317" t="s">
        <v>1138</v>
      </c>
      <c r="E317" t="s">
        <v>1139</v>
      </c>
    </row>
    <row r="318" spans="3:5" x14ac:dyDescent="0.2">
      <c r="C318" t="s">
        <v>1140</v>
      </c>
      <c r="E318" t="s">
        <v>1141</v>
      </c>
    </row>
    <row r="319" spans="3:5" x14ac:dyDescent="0.2">
      <c r="C319" t="s">
        <v>1142</v>
      </c>
      <c r="E319" t="s">
        <v>1143</v>
      </c>
    </row>
    <row r="320" spans="3:5" x14ac:dyDescent="0.2">
      <c r="C320" t="s">
        <v>1144</v>
      </c>
    </row>
    <row r="321" spans="3:5" x14ac:dyDescent="0.2">
      <c r="C321" t="s">
        <v>1145</v>
      </c>
      <c r="E321" t="s">
        <v>1146</v>
      </c>
    </row>
    <row r="322" spans="3:5" x14ac:dyDescent="0.2">
      <c r="C322" t="s">
        <v>1147</v>
      </c>
    </row>
    <row r="323" spans="3:5" x14ac:dyDescent="0.2">
      <c r="C323" t="s">
        <v>1147</v>
      </c>
    </row>
    <row r="324" spans="3:5" x14ac:dyDescent="0.2">
      <c r="C324" t="s">
        <v>1147</v>
      </c>
    </row>
    <row r="325" spans="3:5" x14ac:dyDescent="0.2">
      <c r="C325" t="s">
        <v>1148</v>
      </c>
      <c r="E325" t="s">
        <v>1149</v>
      </c>
    </row>
    <row r="326" spans="3:5" x14ac:dyDescent="0.2">
      <c r="C326" t="s">
        <v>1150</v>
      </c>
      <c r="E326" t="s">
        <v>1151</v>
      </c>
    </row>
    <row r="327" spans="3:5" x14ac:dyDescent="0.2">
      <c r="C327" t="s">
        <v>1152</v>
      </c>
      <c r="E327" t="s">
        <v>1153</v>
      </c>
    </row>
    <row r="328" spans="3:5" x14ac:dyDescent="0.2">
      <c r="C328" t="s">
        <v>1154</v>
      </c>
      <c r="E328" t="s">
        <v>1155</v>
      </c>
    </row>
    <row r="329" spans="3:5" x14ac:dyDescent="0.2">
      <c r="C329" t="s">
        <v>1156</v>
      </c>
      <c r="E329" t="s">
        <v>1157</v>
      </c>
    </row>
    <row r="330" spans="3:5" x14ac:dyDescent="0.2">
      <c r="C330" t="s">
        <v>1158</v>
      </c>
      <c r="E330" t="s">
        <v>1159</v>
      </c>
    </row>
    <row r="331" spans="3:5" x14ac:dyDescent="0.2">
      <c r="C331" t="s">
        <v>1160</v>
      </c>
      <c r="E331" t="s">
        <v>1161</v>
      </c>
    </row>
    <row r="332" spans="3:5" x14ac:dyDescent="0.2">
      <c r="C332" t="s">
        <v>1162</v>
      </c>
      <c r="E332" t="s">
        <v>1163</v>
      </c>
    </row>
    <row r="333" spans="3:5" x14ac:dyDescent="0.2">
      <c r="C333" t="s">
        <v>1164</v>
      </c>
      <c r="E333" t="s">
        <v>1165</v>
      </c>
    </row>
    <row r="334" spans="3:5" x14ac:dyDescent="0.2">
      <c r="C334" t="s">
        <v>1166</v>
      </c>
      <c r="E334" t="s">
        <v>1165</v>
      </c>
    </row>
    <row r="335" spans="3:5" x14ac:dyDescent="0.2">
      <c r="C335" t="s">
        <v>1167</v>
      </c>
      <c r="E335" t="s">
        <v>1168</v>
      </c>
    </row>
    <row r="336" spans="3:5" x14ac:dyDescent="0.2">
      <c r="C336" t="s">
        <v>1169</v>
      </c>
    </row>
    <row r="337" spans="3:5" x14ac:dyDescent="0.2">
      <c r="C337" t="s">
        <v>1170</v>
      </c>
      <c r="E337" t="s">
        <v>1171</v>
      </c>
    </row>
    <row r="338" spans="3:5" x14ac:dyDescent="0.2">
      <c r="C338" t="s">
        <v>1172</v>
      </c>
      <c r="E338" t="s">
        <v>1173</v>
      </c>
    </row>
    <row r="339" spans="3:5" x14ac:dyDescent="0.2">
      <c r="C339" t="s">
        <v>1174</v>
      </c>
      <c r="E339" t="s">
        <v>1175</v>
      </c>
    </row>
    <row r="340" spans="3:5" x14ac:dyDescent="0.2">
      <c r="C340" t="s">
        <v>1176</v>
      </c>
    </row>
    <row r="341" spans="3:5" x14ac:dyDescent="0.2">
      <c r="C341" t="s">
        <v>1177</v>
      </c>
      <c r="E341" t="s">
        <v>1178</v>
      </c>
    </row>
    <row r="342" spans="3:5" x14ac:dyDescent="0.2">
      <c r="C342" t="s">
        <v>1179</v>
      </c>
      <c r="E342" t="s">
        <v>1180</v>
      </c>
    </row>
    <row r="343" spans="3:5" x14ac:dyDescent="0.2">
      <c r="C343" t="s">
        <v>1181</v>
      </c>
    </row>
    <row r="344" spans="3:5" x14ac:dyDescent="0.2">
      <c r="C344" t="s">
        <v>1182</v>
      </c>
      <c r="E344" t="s">
        <v>1183</v>
      </c>
    </row>
    <row r="345" spans="3:5" x14ac:dyDescent="0.2">
      <c r="C345" t="s">
        <v>1184</v>
      </c>
      <c r="E345" t="s">
        <v>1185</v>
      </c>
    </row>
    <row r="346" spans="3:5" x14ac:dyDescent="0.2">
      <c r="C346" t="s">
        <v>1186</v>
      </c>
      <c r="E346" t="s">
        <v>1187</v>
      </c>
    </row>
    <row r="347" spans="3:5" x14ac:dyDescent="0.2">
      <c r="C347" t="s">
        <v>1188</v>
      </c>
      <c r="E347" t="s">
        <v>1189</v>
      </c>
    </row>
    <row r="348" spans="3:5" x14ac:dyDescent="0.2">
      <c r="C348" t="s">
        <v>1190</v>
      </c>
      <c r="E348" t="s">
        <v>1191</v>
      </c>
    </row>
    <row r="349" spans="3:5" x14ac:dyDescent="0.2">
      <c r="C349" t="s">
        <v>1192</v>
      </c>
      <c r="E349" t="s">
        <v>1193</v>
      </c>
    </row>
    <row r="350" spans="3:5" x14ac:dyDescent="0.2">
      <c r="C350" t="s">
        <v>1194</v>
      </c>
      <c r="E350" t="s">
        <v>1195</v>
      </c>
    </row>
    <row r="351" spans="3:5" x14ac:dyDescent="0.2">
      <c r="C351" t="s">
        <v>1196</v>
      </c>
      <c r="E351" t="s">
        <v>854</v>
      </c>
    </row>
    <row r="352" spans="3:5" x14ac:dyDescent="0.2">
      <c r="C352" t="s">
        <v>1197</v>
      </c>
    </row>
    <row r="353" spans="3:5" x14ac:dyDescent="0.2">
      <c r="C353" t="s">
        <v>1198</v>
      </c>
      <c r="E353" t="s">
        <v>1012</v>
      </c>
    </row>
    <row r="354" spans="3:5" x14ac:dyDescent="0.2">
      <c r="C354" t="s">
        <v>1199</v>
      </c>
      <c r="E354" t="s">
        <v>1200</v>
      </c>
    </row>
    <row r="355" spans="3:5" x14ac:dyDescent="0.2">
      <c r="C355" t="s">
        <v>1201</v>
      </c>
      <c r="E355" t="s">
        <v>1202</v>
      </c>
    </row>
    <row r="356" spans="3:5" x14ac:dyDescent="0.2">
      <c r="C356" t="s">
        <v>1203</v>
      </c>
      <c r="E356" t="s">
        <v>1204</v>
      </c>
    </row>
    <row r="357" spans="3:5" x14ac:dyDescent="0.2">
      <c r="C357" t="s">
        <v>1205</v>
      </c>
      <c r="E357" t="s">
        <v>1206</v>
      </c>
    </row>
    <row r="358" spans="3:5" x14ac:dyDescent="0.2">
      <c r="C358" t="s">
        <v>1207</v>
      </c>
      <c r="E358" t="s">
        <v>1208</v>
      </c>
    </row>
    <row r="359" spans="3:5" x14ac:dyDescent="0.2">
      <c r="C359" t="s">
        <v>1209</v>
      </c>
      <c r="E359" t="s">
        <v>1210</v>
      </c>
    </row>
    <row r="360" spans="3:5" x14ac:dyDescent="0.2">
      <c r="C360" t="s">
        <v>1211</v>
      </c>
      <c r="E360" t="s">
        <v>1210</v>
      </c>
    </row>
    <row r="361" spans="3:5" x14ac:dyDescent="0.2">
      <c r="C361" t="s">
        <v>1212</v>
      </c>
      <c r="E361" t="s">
        <v>1213</v>
      </c>
    </row>
    <row r="362" spans="3:5" x14ac:dyDescent="0.2">
      <c r="C362" t="s">
        <v>1214</v>
      </c>
    </row>
    <row r="363" spans="3:5" x14ac:dyDescent="0.2">
      <c r="C363" t="s">
        <v>1215</v>
      </c>
      <c r="E363" t="s">
        <v>1216</v>
      </c>
    </row>
    <row r="364" spans="3:5" x14ac:dyDescent="0.2">
      <c r="C364" t="s">
        <v>1217</v>
      </c>
      <c r="E364" t="s">
        <v>1218</v>
      </c>
    </row>
    <row r="365" spans="3:5" x14ac:dyDescent="0.2">
      <c r="C365" t="s">
        <v>1219</v>
      </c>
      <c r="E365" t="s">
        <v>1220</v>
      </c>
    </row>
    <row r="366" spans="3:5" x14ac:dyDescent="0.2">
      <c r="C366" t="s">
        <v>1221</v>
      </c>
      <c r="E366" t="s">
        <v>1222</v>
      </c>
    </row>
    <row r="367" spans="3:5" x14ac:dyDescent="0.2">
      <c r="C367" t="s">
        <v>1223</v>
      </c>
      <c r="E367" t="s">
        <v>1224</v>
      </c>
    </row>
    <row r="368" spans="3:5" x14ac:dyDescent="0.2">
      <c r="C368" t="s">
        <v>1225</v>
      </c>
      <c r="E368" t="s">
        <v>1226</v>
      </c>
    </row>
    <row r="369" spans="3:5" x14ac:dyDescent="0.2">
      <c r="C369" t="s">
        <v>1227</v>
      </c>
      <c r="E36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F41"/>
  <sheetViews>
    <sheetView workbookViewId="0">
      <pane ySplit="5" topLeftCell="A6" activePane="bottomLeft" state="frozen"/>
      <selection pane="bottomLeft" activeCell="B4" sqref="B4:B11"/>
    </sheetView>
  </sheetViews>
  <sheetFormatPr baseColWidth="10" defaultColWidth="8.83203125" defaultRowHeight="15" x14ac:dyDescent="0.2"/>
  <cols>
    <col min="1" max="1" width="30" customWidth="1"/>
    <col min="2" max="4" width="20" customWidth="1"/>
    <col min="5" max="5" width="10" customWidth="1"/>
    <col min="6" max="6" width="15" customWidth="1"/>
  </cols>
  <sheetData>
    <row r="1" spans="1:6" ht="16" x14ac:dyDescent="0.2">
      <c r="A1" s="39" t="s">
        <v>1228</v>
      </c>
      <c r="B1" s="35"/>
      <c r="C1" s="35"/>
      <c r="D1" s="35"/>
      <c r="E1" s="35"/>
      <c r="F1" s="35"/>
    </row>
    <row r="3" spans="1:6" x14ac:dyDescent="0.2">
      <c r="A3" s="38" t="s">
        <v>1229</v>
      </c>
      <c r="B3" s="35"/>
      <c r="C3" s="35"/>
      <c r="D3" s="35"/>
    </row>
    <row r="4" spans="1:6" x14ac:dyDescent="0.2">
      <c r="A4" s="1" t="s">
        <v>1230</v>
      </c>
      <c r="B4" s="13">
        <f>8052+5628</f>
        <v>13680</v>
      </c>
    </row>
    <row r="5" spans="1:6" x14ac:dyDescent="0.2">
      <c r="A5" s="1" t="s">
        <v>1231</v>
      </c>
      <c r="B5" s="13">
        <f>10076+6830</f>
        <v>16906</v>
      </c>
    </row>
    <row r="6" spans="1:6" x14ac:dyDescent="0.2">
      <c r="A6" s="1" t="s">
        <v>1232</v>
      </c>
      <c r="B6" s="14">
        <f>IF(AND(B4&lt;&gt;"",B5&lt;&gt;""),B5-B4,"")</f>
        <v>3226</v>
      </c>
    </row>
    <row r="7" spans="1:6" x14ac:dyDescent="0.2">
      <c r="A7" s="1" t="s">
        <v>1233</v>
      </c>
      <c r="B7" s="15">
        <v>12159</v>
      </c>
    </row>
    <row r="8" spans="1:6" x14ac:dyDescent="0.2">
      <c r="A8" s="1" t="s">
        <v>1234</v>
      </c>
      <c r="B8" s="15">
        <v>15360</v>
      </c>
    </row>
    <row r="9" spans="1:6" x14ac:dyDescent="0.2">
      <c r="A9" s="1" t="s">
        <v>1235</v>
      </c>
      <c r="B9" s="16">
        <f>IF(AND(B7&lt;&gt;"",B8&lt;&gt;""),B8-B7,"")</f>
        <v>3201</v>
      </c>
    </row>
    <row r="10" spans="1:6" x14ac:dyDescent="0.2">
      <c r="A10" s="1" t="s">
        <v>1236</v>
      </c>
      <c r="B10" s="17">
        <v>1128</v>
      </c>
    </row>
    <row r="11" spans="1:6" x14ac:dyDescent="0.2">
      <c r="A11" s="1" t="s">
        <v>1237</v>
      </c>
      <c r="B11" s="17">
        <v>1313</v>
      </c>
    </row>
    <row r="12" spans="1:6" x14ac:dyDescent="0.2">
      <c r="A12" s="1" t="s">
        <v>1238</v>
      </c>
      <c r="B12" s="16">
        <f>IF(AND(B10&lt;&gt;"",B11&lt;&gt;""),B11-B10,"")</f>
        <v>185</v>
      </c>
    </row>
    <row r="14" spans="1:6" x14ac:dyDescent="0.2">
      <c r="A14" s="38" t="s">
        <v>1239</v>
      </c>
      <c r="B14" s="35"/>
      <c r="C14" s="35"/>
      <c r="D14" s="35"/>
      <c r="E14" s="35"/>
      <c r="F14" s="35"/>
    </row>
    <row r="15" spans="1:6" ht="30" customHeight="1" x14ac:dyDescent="0.2">
      <c r="A15" s="40" t="s">
        <v>1240</v>
      </c>
      <c r="B15" s="35"/>
      <c r="C15" s="35"/>
      <c r="D15" s="35"/>
      <c r="E15" s="35"/>
      <c r="F15" s="35"/>
    </row>
    <row r="16" spans="1:6" ht="30" customHeight="1" x14ac:dyDescent="0.2">
      <c r="A16" s="18" t="s">
        <v>1241</v>
      </c>
      <c r="B16" s="18" t="s">
        <v>1242</v>
      </c>
      <c r="C16" s="18" t="s">
        <v>1243</v>
      </c>
      <c r="D16" s="18" t="s">
        <v>1244</v>
      </c>
      <c r="E16" s="18" t="s">
        <v>1245</v>
      </c>
      <c r="F16" s="18" t="s">
        <v>1246</v>
      </c>
    </row>
    <row r="17" spans="1:6" x14ac:dyDescent="0.2">
      <c r="A17" s="19" t="s">
        <v>1265</v>
      </c>
      <c r="B17" s="20">
        <v>185</v>
      </c>
      <c r="C17" s="21">
        <v>1.29</v>
      </c>
      <c r="D17" s="21">
        <f>B17*C17</f>
        <v>238.65</v>
      </c>
      <c r="E17" s="22">
        <v>0.09</v>
      </c>
      <c r="F17" s="23">
        <f>D17*E17</f>
        <v>21.4785</v>
      </c>
    </row>
    <row r="18" spans="1:6" x14ac:dyDescent="0.2">
      <c r="A18" s="19" t="s">
        <v>1266</v>
      </c>
      <c r="B18" s="20">
        <v>579</v>
      </c>
      <c r="C18" s="21">
        <v>0.25474000000000002</v>
      </c>
      <c r="D18" s="21">
        <f>B18*C18</f>
        <v>147.49446</v>
      </c>
      <c r="E18" s="22">
        <v>0.09</v>
      </c>
      <c r="F18" s="23">
        <f>D18*E18</f>
        <v>13.2745014</v>
      </c>
    </row>
    <row r="19" spans="1:6" x14ac:dyDescent="0.2">
      <c r="A19" s="19" t="s">
        <v>1267</v>
      </c>
      <c r="B19" s="20">
        <v>185</v>
      </c>
      <c r="C19" s="21">
        <v>0.45800000000000002</v>
      </c>
      <c r="D19" s="21">
        <f>B19*C19</f>
        <v>84.73</v>
      </c>
      <c r="E19" s="22">
        <v>0.09</v>
      </c>
      <c r="F19" s="23">
        <f>D19*E19</f>
        <v>7.6257000000000001</v>
      </c>
    </row>
    <row r="20" spans="1:6" x14ac:dyDescent="0.2">
      <c r="A20" s="19" t="s">
        <v>1268</v>
      </c>
      <c r="B20" s="20">
        <v>185</v>
      </c>
      <c r="C20" s="21">
        <v>9.2299999999999993E-2</v>
      </c>
      <c r="D20" s="21">
        <f>B20*C20</f>
        <v>17.075499999999998</v>
      </c>
      <c r="E20" s="22">
        <v>0.09</v>
      </c>
      <c r="F20" s="23">
        <f>D20*E20</f>
        <v>1.5367949999999997</v>
      </c>
    </row>
    <row r="21" spans="1:6" x14ac:dyDescent="0.2">
      <c r="A21" s="19" t="s">
        <v>1269</v>
      </c>
      <c r="B21" s="20">
        <v>3308</v>
      </c>
      <c r="C21" s="21">
        <v>0.274476</v>
      </c>
      <c r="D21" s="21">
        <f>B21*C21</f>
        <v>907.96660799999995</v>
      </c>
      <c r="E21" s="22">
        <v>0.21</v>
      </c>
      <c r="F21" s="23">
        <f>D21*E21</f>
        <v>190.67298767999998</v>
      </c>
    </row>
    <row r="22" spans="1:6" x14ac:dyDescent="0.2">
      <c r="A22" s="19" t="s">
        <v>1270</v>
      </c>
      <c r="B22" s="20">
        <v>579</v>
      </c>
      <c r="C22" s="21">
        <v>0.39780799999999999</v>
      </c>
      <c r="D22" s="21">
        <f t="shared" ref="D22:D36" si="0">B22*C22</f>
        <v>230.33083199999999</v>
      </c>
      <c r="E22" s="22">
        <v>0.21</v>
      </c>
      <c r="F22" s="23">
        <f t="shared" ref="F22:F36" si="1">IF(AND(D22&lt;&gt;"",E22&lt;&gt;""),D22*E22,"")</f>
        <v>48.369474719999992</v>
      </c>
    </row>
    <row r="23" spans="1:6" x14ac:dyDescent="0.2">
      <c r="A23" s="19" t="s">
        <v>1271</v>
      </c>
      <c r="B23" s="20">
        <v>579</v>
      </c>
      <c r="C23" s="21">
        <v>-1.740245</v>
      </c>
      <c r="D23" s="21">
        <f t="shared" si="0"/>
        <v>-1007.601855</v>
      </c>
      <c r="E23" s="22">
        <v>0.21</v>
      </c>
      <c r="F23" s="23">
        <f t="shared" si="1"/>
        <v>-211.59638955</v>
      </c>
    </row>
    <row r="24" spans="1:6" x14ac:dyDescent="0.2">
      <c r="A24" s="19" t="s">
        <v>1272</v>
      </c>
      <c r="B24" s="20">
        <v>579</v>
      </c>
      <c r="C24" s="21">
        <v>1.3038959999999999</v>
      </c>
      <c r="D24" s="21">
        <f t="shared" si="0"/>
        <v>754.95578399999999</v>
      </c>
      <c r="E24" s="22">
        <v>0.21</v>
      </c>
      <c r="F24" s="23">
        <f t="shared" si="1"/>
        <v>158.54071464</v>
      </c>
    </row>
    <row r="25" spans="1:6" x14ac:dyDescent="0.2">
      <c r="A25" s="19" t="s">
        <v>1273</v>
      </c>
      <c r="B25" s="20">
        <v>3406</v>
      </c>
      <c r="C25" s="21">
        <v>1.287755</v>
      </c>
      <c r="D25" s="21">
        <f t="shared" si="0"/>
        <v>4386.0935300000001</v>
      </c>
      <c r="E25" s="22">
        <v>0.21</v>
      </c>
      <c r="F25" s="23">
        <f t="shared" si="1"/>
        <v>921.07964129999993</v>
      </c>
    </row>
    <row r="26" spans="1:6" x14ac:dyDescent="0.2">
      <c r="A26" s="19" t="s">
        <v>1274</v>
      </c>
      <c r="B26" s="20">
        <v>579</v>
      </c>
      <c r="C26" s="21">
        <v>0.29835600000000001</v>
      </c>
      <c r="D26" s="21">
        <f t="shared" si="0"/>
        <v>172.74812400000002</v>
      </c>
      <c r="E26" s="22">
        <v>0.21</v>
      </c>
      <c r="F26" s="23">
        <f t="shared" si="1"/>
        <v>36.27710604</v>
      </c>
    </row>
    <row r="27" spans="1:6" x14ac:dyDescent="0.2">
      <c r="A27" s="19" t="s">
        <v>1275</v>
      </c>
      <c r="B27" s="20">
        <v>579</v>
      </c>
      <c r="C27" s="21">
        <v>0.67421200000000003</v>
      </c>
      <c r="D27" s="21">
        <f t="shared" si="0"/>
        <v>390.36874800000004</v>
      </c>
      <c r="E27" s="22">
        <v>0.21</v>
      </c>
      <c r="F27" s="23">
        <f t="shared" si="1"/>
        <v>81.977437080000001</v>
      </c>
    </row>
    <row r="28" spans="1:6" x14ac:dyDescent="0.2">
      <c r="A28" s="4"/>
      <c r="B28" s="17"/>
      <c r="C28" s="8"/>
      <c r="D28" s="21">
        <f t="shared" si="0"/>
        <v>0</v>
      </c>
      <c r="E28" s="24">
        <v>0.21</v>
      </c>
      <c r="F28" s="10">
        <f t="shared" si="1"/>
        <v>0</v>
      </c>
    </row>
    <row r="29" spans="1:6" x14ac:dyDescent="0.2">
      <c r="A29" s="4"/>
      <c r="B29" s="17"/>
      <c r="C29" s="8"/>
      <c r="D29" s="21">
        <f t="shared" si="0"/>
        <v>0</v>
      </c>
      <c r="E29" s="24">
        <v>0.21</v>
      </c>
      <c r="F29" s="10">
        <f t="shared" si="1"/>
        <v>0</v>
      </c>
    </row>
    <row r="30" spans="1:6" x14ac:dyDescent="0.2">
      <c r="A30" s="4"/>
      <c r="B30" s="17"/>
      <c r="C30" s="8"/>
      <c r="D30" s="21">
        <f t="shared" si="0"/>
        <v>0</v>
      </c>
      <c r="E30" s="24">
        <v>0.21</v>
      </c>
      <c r="F30" s="10">
        <f t="shared" si="1"/>
        <v>0</v>
      </c>
    </row>
    <row r="31" spans="1:6" x14ac:dyDescent="0.2">
      <c r="A31" s="4"/>
      <c r="B31" s="17"/>
      <c r="C31" s="8"/>
      <c r="D31" s="21">
        <f t="shared" si="0"/>
        <v>0</v>
      </c>
      <c r="E31" s="24">
        <v>0.21</v>
      </c>
      <c r="F31" s="10">
        <f t="shared" si="1"/>
        <v>0</v>
      </c>
    </row>
    <row r="32" spans="1:6" x14ac:dyDescent="0.2">
      <c r="A32" s="4"/>
      <c r="B32" s="17"/>
      <c r="C32" s="8"/>
      <c r="D32" s="21">
        <f t="shared" si="0"/>
        <v>0</v>
      </c>
      <c r="E32" s="24">
        <v>0.21</v>
      </c>
      <c r="F32" s="10">
        <f t="shared" si="1"/>
        <v>0</v>
      </c>
    </row>
    <row r="33" spans="1:6" x14ac:dyDescent="0.2">
      <c r="A33" s="4"/>
      <c r="B33" s="17"/>
      <c r="C33" s="8"/>
      <c r="D33" s="21">
        <f t="shared" si="0"/>
        <v>0</v>
      </c>
      <c r="E33" s="24">
        <v>0.21</v>
      </c>
      <c r="F33" s="10">
        <f t="shared" si="1"/>
        <v>0</v>
      </c>
    </row>
    <row r="34" spans="1:6" x14ac:dyDescent="0.2">
      <c r="A34" s="4"/>
      <c r="B34" s="17"/>
      <c r="C34" s="8"/>
      <c r="D34" s="21">
        <f t="shared" si="0"/>
        <v>0</v>
      </c>
      <c r="E34" s="24">
        <v>0.21</v>
      </c>
      <c r="F34" s="10">
        <f t="shared" si="1"/>
        <v>0</v>
      </c>
    </row>
    <row r="35" spans="1:6" x14ac:dyDescent="0.2">
      <c r="A35" s="4"/>
      <c r="B35" s="17"/>
      <c r="C35" s="8"/>
      <c r="D35" s="21">
        <f t="shared" si="0"/>
        <v>0</v>
      </c>
      <c r="E35" s="24">
        <v>0.21</v>
      </c>
      <c r="F35" s="10">
        <f t="shared" si="1"/>
        <v>0</v>
      </c>
    </row>
    <row r="36" spans="1:6" x14ac:dyDescent="0.2">
      <c r="A36" s="4"/>
      <c r="B36" s="17"/>
      <c r="C36" s="8"/>
      <c r="D36" s="21">
        <f t="shared" si="0"/>
        <v>0</v>
      </c>
      <c r="E36" s="24">
        <v>0.21</v>
      </c>
      <c r="F36" s="10">
        <f t="shared" si="1"/>
        <v>0</v>
      </c>
    </row>
    <row r="38" spans="1:6" x14ac:dyDescent="0.2">
      <c r="A38" s="36" t="s">
        <v>1247</v>
      </c>
      <c r="B38" s="35"/>
      <c r="C38" s="35"/>
      <c r="D38" s="35"/>
      <c r="E38" s="35"/>
      <c r="F38" s="35"/>
    </row>
    <row r="39" spans="1:6" x14ac:dyDescent="0.2">
      <c r="A39" s="1" t="s">
        <v>1248</v>
      </c>
      <c r="B39" s="10">
        <f>SUM(D17:D37)</f>
        <v>6322.8117309999989</v>
      </c>
    </row>
    <row r="40" spans="1:6" x14ac:dyDescent="0.2">
      <c r="A40" s="1" t="s">
        <v>1249</v>
      </c>
      <c r="B40" s="10">
        <f>SUM(F17:F38)</f>
        <v>1269.23646831</v>
      </c>
    </row>
    <row r="41" spans="1:6" x14ac:dyDescent="0.2">
      <c r="A41" s="25" t="s">
        <v>1250</v>
      </c>
      <c r="B41" s="26">
        <f>IF(B39="","",B39+B40)</f>
        <v>7592.0481993099984</v>
      </c>
    </row>
  </sheetData>
  <mergeCells count="5">
    <mergeCell ref="A38:F38"/>
    <mergeCell ref="A14:F14"/>
    <mergeCell ref="A1:F1"/>
    <mergeCell ref="A3:D3"/>
    <mergeCell ref="A15:F15"/>
  </mergeCell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42" t="s">
        <v>1251</v>
      </c>
      <c r="B1" s="35"/>
    </row>
    <row r="3" spans="1:2" x14ac:dyDescent="0.2">
      <c r="A3" s="41" t="s">
        <v>1252</v>
      </c>
      <c r="B3" s="35"/>
    </row>
    <row r="4" spans="1:2" x14ac:dyDescent="0.2">
      <c r="A4" s="1" t="s">
        <v>24</v>
      </c>
      <c r="B4" s="27" t="str">
        <f>[0]!Schoonmaak_pakket</f>
        <v>geen</v>
      </c>
    </row>
    <row r="5" spans="1:2" x14ac:dyDescent="0.2">
      <c r="A5" s="1" t="s">
        <v>25</v>
      </c>
      <c r="B5" s="6" t="str">
        <f>IF(B4="Basis Schoonmaak",5,IF(B4="Intensief Schoonmaak",7,""))</f>
        <v/>
      </c>
    </row>
    <row r="6" spans="1:2" x14ac:dyDescent="0.2">
      <c r="A6" s="1" t="s">
        <v>1253</v>
      </c>
      <c r="B6" s="28">
        <v>7</v>
      </c>
    </row>
    <row r="7" spans="1:2" x14ac:dyDescent="0.2">
      <c r="A7" s="1" t="s">
        <v>1254</v>
      </c>
      <c r="B7" s="29" t="str">
        <f>IF(AND(B5&lt;&gt;"",B6&lt;&gt;""),MAX(0,B6-B5),"")</f>
        <v/>
      </c>
    </row>
    <row r="8" spans="1:2" x14ac:dyDescent="0.2">
      <c r="A8" s="1" t="s">
        <v>1255</v>
      </c>
      <c r="B8" s="30">
        <f>[0]!Uurtarief_schoonmaak</f>
        <v>50</v>
      </c>
    </row>
    <row r="9" spans="1:2" x14ac:dyDescent="0.2">
      <c r="A9" s="25" t="s">
        <v>1256</v>
      </c>
      <c r="B9" s="26" t="str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F60"/>
  <sheetViews>
    <sheetView workbookViewId="0">
      <pane ySplit="5" topLeftCell="A47" activePane="bottomLeft" state="frozen"/>
      <selection pane="bottomLeft" sqref="A1:F1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  <col min="5" max="5" width="10" customWidth="1"/>
    <col min="6" max="6" width="15" customWidth="1"/>
  </cols>
  <sheetData>
    <row r="1" spans="1:6" ht="16" x14ac:dyDescent="0.2">
      <c r="A1" s="43" t="s">
        <v>1257</v>
      </c>
      <c r="B1" s="35"/>
      <c r="C1" s="35"/>
      <c r="D1" s="35"/>
      <c r="E1" s="35"/>
      <c r="F1" s="35"/>
    </row>
    <row r="3" spans="1:6" x14ac:dyDescent="0.2">
      <c r="A3" s="44" t="s">
        <v>1258</v>
      </c>
      <c r="B3" s="35"/>
      <c r="C3" s="35"/>
      <c r="D3" s="35"/>
      <c r="E3" s="35"/>
    </row>
    <row r="5" spans="1:6" ht="25" customHeight="1" x14ac:dyDescent="0.2">
      <c r="A5" s="31" t="s">
        <v>1259</v>
      </c>
      <c r="B5" s="31" t="s">
        <v>1260</v>
      </c>
      <c r="C5" s="31" t="s">
        <v>1261</v>
      </c>
      <c r="D5" s="31" t="s">
        <v>1262</v>
      </c>
      <c r="E5" s="31" t="s">
        <v>1245</v>
      </c>
      <c r="F5" s="31" t="s">
        <v>1246</v>
      </c>
    </row>
    <row r="6" spans="1:6" x14ac:dyDescent="0.2">
      <c r="A6" s="4"/>
      <c r="B6" s="32"/>
      <c r="C6" s="8"/>
      <c r="D6" s="10" t="str">
        <f t="shared" ref="D6:D37" si="0">IF(AND(B6&lt;&gt;"",C6&lt;&gt;""),B6*C6,"")</f>
        <v/>
      </c>
      <c r="E6" s="24">
        <v>0.21</v>
      </c>
      <c r="F6" s="10" t="str">
        <f t="shared" ref="F6:F37" si="1">IF(AND(D6&lt;&gt;"",E6&lt;&gt;""),D6*E6,"")</f>
        <v/>
      </c>
    </row>
    <row r="7" spans="1:6" x14ac:dyDescent="0.2">
      <c r="A7" s="4"/>
      <c r="B7" s="32"/>
      <c r="C7" s="8"/>
      <c r="D7" s="10" t="str">
        <f t="shared" si="0"/>
        <v/>
      </c>
      <c r="E7" s="24">
        <v>0.21</v>
      </c>
      <c r="F7" s="10" t="str">
        <f t="shared" si="1"/>
        <v/>
      </c>
    </row>
    <row r="8" spans="1:6" x14ac:dyDescent="0.2">
      <c r="A8" s="4"/>
      <c r="B8" s="32"/>
      <c r="C8" s="8"/>
      <c r="D8" s="10" t="str">
        <f t="shared" si="0"/>
        <v/>
      </c>
      <c r="E8" s="24">
        <v>0.21</v>
      </c>
      <c r="F8" s="10" t="str">
        <f t="shared" si="1"/>
        <v/>
      </c>
    </row>
    <row r="9" spans="1:6" x14ac:dyDescent="0.2">
      <c r="A9" s="4"/>
      <c r="B9" s="32"/>
      <c r="C9" s="8"/>
      <c r="D9" s="10" t="str">
        <f t="shared" si="0"/>
        <v/>
      </c>
      <c r="E9" s="24">
        <v>0.21</v>
      </c>
      <c r="F9" s="10" t="str">
        <f t="shared" si="1"/>
        <v/>
      </c>
    </row>
    <row r="10" spans="1:6" x14ac:dyDescent="0.2">
      <c r="A10" s="4"/>
      <c r="B10" s="32"/>
      <c r="C10" s="8"/>
      <c r="D10" s="10" t="str">
        <f t="shared" si="0"/>
        <v/>
      </c>
      <c r="E10" s="24">
        <v>0.21</v>
      </c>
      <c r="F10" s="10" t="str">
        <f t="shared" si="1"/>
        <v/>
      </c>
    </row>
    <row r="11" spans="1:6" x14ac:dyDescent="0.2">
      <c r="A11" s="4"/>
      <c r="B11" s="32"/>
      <c r="C11" s="8"/>
      <c r="D11" s="10" t="str">
        <f t="shared" si="0"/>
        <v/>
      </c>
      <c r="E11" s="24">
        <v>0.21</v>
      </c>
      <c r="F11" s="10" t="str">
        <f t="shared" si="1"/>
        <v/>
      </c>
    </row>
    <row r="12" spans="1:6" x14ac:dyDescent="0.2">
      <c r="A12" s="4"/>
      <c r="B12" s="32"/>
      <c r="C12" s="8"/>
      <c r="D12" s="10" t="str">
        <f t="shared" si="0"/>
        <v/>
      </c>
      <c r="E12" s="24">
        <v>0.21</v>
      </c>
      <c r="F12" s="10" t="str">
        <f t="shared" si="1"/>
        <v/>
      </c>
    </row>
    <row r="13" spans="1:6" x14ac:dyDescent="0.2">
      <c r="A13" s="4"/>
      <c r="B13" s="32"/>
      <c r="C13" s="8"/>
      <c r="D13" s="10" t="str">
        <f t="shared" si="0"/>
        <v/>
      </c>
      <c r="E13" s="24">
        <v>0.21</v>
      </c>
      <c r="F13" s="10" t="str">
        <f t="shared" si="1"/>
        <v/>
      </c>
    </row>
    <row r="14" spans="1:6" x14ac:dyDescent="0.2">
      <c r="A14" s="4"/>
      <c r="B14" s="32"/>
      <c r="C14" s="8"/>
      <c r="D14" s="10" t="str">
        <f t="shared" si="0"/>
        <v/>
      </c>
      <c r="E14" s="24">
        <v>0.21</v>
      </c>
      <c r="F14" s="10" t="str">
        <f t="shared" si="1"/>
        <v/>
      </c>
    </row>
    <row r="15" spans="1:6" x14ac:dyDescent="0.2">
      <c r="A15" s="4"/>
      <c r="B15" s="32"/>
      <c r="C15" s="8"/>
      <c r="D15" s="10" t="str">
        <f t="shared" si="0"/>
        <v/>
      </c>
      <c r="E15" s="24">
        <v>0.21</v>
      </c>
      <c r="F15" s="10" t="str">
        <f t="shared" si="1"/>
        <v/>
      </c>
    </row>
    <row r="16" spans="1:6" x14ac:dyDescent="0.2">
      <c r="A16" s="4"/>
      <c r="B16" s="32"/>
      <c r="C16" s="8"/>
      <c r="D16" s="10" t="str">
        <f t="shared" si="0"/>
        <v/>
      </c>
      <c r="E16" s="24">
        <v>0.21</v>
      </c>
      <c r="F16" s="10" t="str">
        <f t="shared" si="1"/>
        <v/>
      </c>
    </row>
    <row r="17" spans="1:6" x14ac:dyDescent="0.2">
      <c r="A17" s="4"/>
      <c r="B17" s="32"/>
      <c r="C17" s="8"/>
      <c r="D17" s="10" t="str">
        <f t="shared" si="0"/>
        <v/>
      </c>
      <c r="E17" s="24">
        <v>0.21</v>
      </c>
      <c r="F17" s="10" t="str">
        <f t="shared" si="1"/>
        <v/>
      </c>
    </row>
    <row r="18" spans="1:6" x14ac:dyDescent="0.2">
      <c r="A18" s="4"/>
      <c r="B18" s="32"/>
      <c r="C18" s="8"/>
      <c r="D18" s="10" t="str">
        <f t="shared" si="0"/>
        <v/>
      </c>
      <c r="E18" s="24">
        <v>0.21</v>
      </c>
      <c r="F18" s="10" t="str">
        <f t="shared" si="1"/>
        <v/>
      </c>
    </row>
    <row r="19" spans="1:6" x14ac:dyDescent="0.2">
      <c r="A19" s="4"/>
      <c r="B19" s="32"/>
      <c r="C19" s="8"/>
      <c r="D19" s="10" t="str">
        <f t="shared" si="0"/>
        <v/>
      </c>
      <c r="E19" s="24">
        <v>0.21</v>
      </c>
      <c r="F19" s="10" t="str">
        <f t="shared" si="1"/>
        <v/>
      </c>
    </row>
    <row r="20" spans="1:6" x14ac:dyDescent="0.2">
      <c r="A20" s="4"/>
      <c r="B20" s="32"/>
      <c r="C20" s="8"/>
      <c r="D20" s="10" t="str">
        <f t="shared" si="0"/>
        <v/>
      </c>
      <c r="E20" s="24">
        <v>0.21</v>
      </c>
      <c r="F20" s="10" t="str">
        <f t="shared" si="1"/>
        <v/>
      </c>
    </row>
    <row r="21" spans="1:6" x14ac:dyDescent="0.2">
      <c r="A21" s="4"/>
      <c r="B21" s="32"/>
      <c r="C21" s="8"/>
      <c r="D21" s="10" t="str">
        <f t="shared" si="0"/>
        <v/>
      </c>
      <c r="E21" s="24">
        <v>0.21</v>
      </c>
      <c r="F21" s="10" t="str">
        <f t="shared" si="1"/>
        <v/>
      </c>
    </row>
    <row r="22" spans="1:6" x14ac:dyDescent="0.2">
      <c r="A22" s="4"/>
      <c r="B22" s="32"/>
      <c r="C22" s="8"/>
      <c r="D22" s="10" t="str">
        <f t="shared" si="0"/>
        <v/>
      </c>
      <c r="E22" s="24">
        <v>0.21</v>
      </c>
      <c r="F22" s="10" t="str">
        <f t="shared" si="1"/>
        <v/>
      </c>
    </row>
    <row r="23" spans="1:6" x14ac:dyDescent="0.2">
      <c r="A23" s="4"/>
      <c r="B23" s="32"/>
      <c r="C23" s="8"/>
      <c r="D23" s="10" t="str">
        <f t="shared" si="0"/>
        <v/>
      </c>
      <c r="E23" s="24">
        <v>0.21</v>
      </c>
      <c r="F23" s="10" t="str">
        <f t="shared" si="1"/>
        <v/>
      </c>
    </row>
    <row r="24" spans="1:6" x14ac:dyDescent="0.2">
      <c r="A24" s="4"/>
      <c r="B24" s="32"/>
      <c r="C24" s="8"/>
      <c r="D24" s="10" t="str">
        <f t="shared" si="0"/>
        <v/>
      </c>
      <c r="E24" s="24">
        <v>0.21</v>
      </c>
      <c r="F24" s="10" t="str">
        <f t="shared" si="1"/>
        <v/>
      </c>
    </row>
    <row r="25" spans="1:6" x14ac:dyDescent="0.2">
      <c r="A25" s="4"/>
      <c r="B25" s="32"/>
      <c r="C25" s="8"/>
      <c r="D25" s="10" t="str">
        <f t="shared" si="0"/>
        <v/>
      </c>
      <c r="E25" s="24">
        <v>0.21</v>
      </c>
      <c r="F25" s="10" t="str">
        <f t="shared" si="1"/>
        <v/>
      </c>
    </row>
    <row r="26" spans="1:6" x14ac:dyDescent="0.2">
      <c r="A26" s="4"/>
      <c r="B26" s="32"/>
      <c r="C26" s="8"/>
      <c r="D26" s="10" t="str">
        <f t="shared" si="0"/>
        <v/>
      </c>
      <c r="E26" s="24">
        <v>0.21</v>
      </c>
      <c r="F26" s="10" t="str">
        <f t="shared" si="1"/>
        <v/>
      </c>
    </row>
    <row r="27" spans="1:6" x14ac:dyDescent="0.2">
      <c r="A27" s="4"/>
      <c r="B27" s="32"/>
      <c r="C27" s="8"/>
      <c r="D27" s="10" t="str">
        <f t="shared" si="0"/>
        <v/>
      </c>
      <c r="E27" s="24">
        <v>0.21</v>
      </c>
      <c r="F27" s="10" t="str">
        <f t="shared" si="1"/>
        <v/>
      </c>
    </row>
    <row r="28" spans="1:6" x14ac:dyDescent="0.2">
      <c r="A28" s="4"/>
      <c r="B28" s="32"/>
      <c r="C28" s="8"/>
      <c r="D28" s="10" t="str">
        <f t="shared" si="0"/>
        <v/>
      </c>
      <c r="E28" s="24">
        <v>0.21</v>
      </c>
      <c r="F28" s="10" t="str">
        <f t="shared" si="1"/>
        <v/>
      </c>
    </row>
    <row r="29" spans="1:6" x14ac:dyDescent="0.2">
      <c r="A29" s="4"/>
      <c r="B29" s="32"/>
      <c r="C29" s="8"/>
      <c r="D29" s="10" t="str">
        <f t="shared" si="0"/>
        <v/>
      </c>
      <c r="E29" s="24">
        <v>0.21</v>
      </c>
      <c r="F29" s="10" t="str">
        <f t="shared" si="1"/>
        <v/>
      </c>
    </row>
    <row r="30" spans="1:6" x14ac:dyDescent="0.2">
      <c r="A30" s="4"/>
      <c r="B30" s="32"/>
      <c r="C30" s="8"/>
      <c r="D30" s="10" t="str">
        <f t="shared" si="0"/>
        <v/>
      </c>
      <c r="E30" s="24">
        <v>0.21</v>
      </c>
      <c r="F30" s="10" t="str">
        <f t="shared" si="1"/>
        <v/>
      </c>
    </row>
    <row r="31" spans="1:6" x14ac:dyDescent="0.2">
      <c r="A31" s="4"/>
      <c r="B31" s="32"/>
      <c r="C31" s="8"/>
      <c r="D31" s="10" t="str">
        <f t="shared" si="0"/>
        <v/>
      </c>
      <c r="E31" s="24">
        <v>0.21</v>
      </c>
      <c r="F31" s="10" t="str">
        <f t="shared" si="1"/>
        <v/>
      </c>
    </row>
    <row r="32" spans="1:6" x14ac:dyDescent="0.2">
      <c r="A32" s="4"/>
      <c r="B32" s="32"/>
      <c r="C32" s="8"/>
      <c r="D32" s="10" t="str">
        <f t="shared" si="0"/>
        <v/>
      </c>
      <c r="E32" s="24">
        <v>0.21</v>
      </c>
      <c r="F32" s="10" t="str">
        <f t="shared" si="1"/>
        <v/>
      </c>
    </row>
    <row r="33" spans="1:6" x14ac:dyDescent="0.2">
      <c r="A33" s="4"/>
      <c r="B33" s="32"/>
      <c r="C33" s="8"/>
      <c r="D33" s="10" t="str">
        <f t="shared" si="0"/>
        <v/>
      </c>
      <c r="E33" s="24">
        <v>0.21</v>
      </c>
      <c r="F33" s="10" t="str">
        <f t="shared" si="1"/>
        <v/>
      </c>
    </row>
    <row r="34" spans="1:6" x14ac:dyDescent="0.2">
      <c r="A34" s="4"/>
      <c r="B34" s="32"/>
      <c r="C34" s="8"/>
      <c r="D34" s="10" t="str">
        <f t="shared" si="0"/>
        <v/>
      </c>
      <c r="E34" s="24">
        <v>0.21</v>
      </c>
      <c r="F34" s="10" t="str">
        <f t="shared" si="1"/>
        <v/>
      </c>
    </row>
    <row r="35" spans="1:6" x14ac:dyDescent="0.2">
      <c r="A35" s="4"/>
      <c r="B35" s="32"/>
      <c r="C35" s="8"/>
      <c r="D35" s="10" t="str">
        <f t="shared" si="0"/>
        <v/>
      </c>
      <c r="E35" s="24">
        <v>0.21</v>
      </c>
      <c r="F35" s="10" t="str">
        <f t="shared" si="1"/>
        <v/>
      </c>
    </row>
    <row r="36" spans="1:6" x14ac:dyDescent="0.2">
      <c r="A36" s="4"/>
      <c r="B36" s="32"/>
      <c r="C36" s="8"/>
      <c r="D36" s="10" t="str">
        <f t="shared" si="0"/>
        <v/>
      </c>
      <c r="E36" s="24">
        <v>0.21</v>
      </c>
      <c r="F36" s="10" t="str">
        <f t="shared" si="1"/>
        <v/>
      </c>
    </row>
    <row r="37" spans="1:6" x14ac:dyDescent="0.2">
      <c r="A37" s="4"/>
      <c r="B37" s="32"/>
      <c r="C37" s="8"/>
      <c r="D37" s="10" t="str">
        <f t="shared" si="0"/>
        <v/>
      </c>
      <c r="E37" s="24">
        <v>0.21</v>
      </c>
      <c r="F37" s="10" t="str">
        <f t="shared" si="1"/>
        <v/>
      </c>
    </row>
    <row r="38" spans="1:6" x14ac:dyDescent="0.2">
      <c r="A38" s="4"/>
      <c r="B38" s="32"/>
      <c r="C38" s="8"/>
      <c r="D38" s="10" t="str">
        <f t="shared" ref="D38:D55" si="2">IF(AND(B38&lt;&gt;"",C38&lt;&gt;""),B38*C38,"")</f>
        <v/>
      </c>
      <c r="E38" s="24">
        <v>0.21</v>
      </c>
      <c r="F38" s="10" t="str">
        <f t="shared" ref="F38:F55" si="3">IF(AND(D38&lt;&gt;"",E38&lt;&gt;""),D38*E38,"")</f>
        <v/>
      </c>
    </row>
    <row r="39" spans="1:6" x14ac:dyDescent="0.2">
      <c r="A39" s="4"/>
      <c r="B39" s="32"/>
      <c r="C39" s="8"/>
      <c r="D39" s="10" t="str">
        <f t="shared" si="2"/>
        <v/>
      </c>
      <c r="E39" s="24">
        <v>0.21</v>
      </c>
      <c r="F39" s="10" t="str">
        <f t="shared" si="3"/>
        <v/>
      </c>
    </row>
    <row r="40" spans="1:6" x14ac:dyDescent="0.2">
      <c r="A40" s="4"/>
      <c r="B40" s="32"/>
      <c r="C40" s="8"/>
      <c r="D40" s="10" t="str">
        <f t="shared" si="2"/>
        <v/>
      </c>
      <c r="E40" s="24">
        <v>0.21</v>
      </c>
      <c r="F40" s="10" t="str">
        <f t="shared" si="3"/>
        <v/>
      </c>
    </row>
    <row r="41" spans="1:6" x14ac:dyDescent="0.2">
      <c r="A41" s="4"/>
      <c r="B41" s="32"/>
      <c r="C41" s="8"/>
      <c r="D41" s="10" t="str">
        <f t="shared" si="2"/>
        <v/>
      </c>
      <c r="E41" s="24">
        <v>0.21</v>
      </c>
      <c r="F41" s="10" t="str">
        <f t="shared" si="3"/>
        <v/>
      </c>
    </row>
    <row r="42" spans="1:6" x14ac:dyDescent="0.2">
      <c r="A42" s="4"/>
      <c r="B42" s="32"/>
      <c r="C42" s="8"/>
      <c r="D42" s="10" t="str">
        <f t="shared" si="2"/>
        <v/>
      </c>
      <c r="E42" s="24">
        <v>0.21</v>
      </c>
      <c r="F42" s="10" t="str">
        <f t="shared" si="3"/>
        <v/>
      </c>
    </row>
    <row r="43" spans="1:6" x14ac:dyDescent="0.2">
      <c r="A43" s="4"/>
      <c r="B43" s="32"/>
      <c r="C43" s="8"/>
      <c r="D43" s="10" t="str">
        <f t="shared" si="2"/>
        <v/>
      </c>
      <c r="E43" s="24">
        <v>0.21</v>
      </c>
      <c r="F43" s="10" t="str">
        <f t="shared" si="3"/>
        <v/>
      </c>
    </row>
    <row r="44" spans="1:6" x14ac:dyDescent="0.2">
      <c r="A44" s="4"/>
      <c r="B44" s="32"/>
      <c r="C44" s="8"/>
      <c r="D44" s="10" t="str">
        <f t="shared" si="2"/>
        <v/>
      </c>
      <c r="E44" s="24">
        <v>0.21</v>
      </c>
      <c r="F44" s="10" t="str">
        <f t="shared" si="3"/>
        <v/>
      </c>
    </row>
    <row r="45" spans="1:6" x14ac:dyDescent="0.2">
      <c r="A45" s="4"/>
      <c r="B45" s="32"/>
      <c r="C45" s="8"/>
      <c r="D45" s="10" t="str">
        <f t="shared" si="2"/>
        <v/>
      </c>
      <c r="E45" s="24">
        <v>0.21</v>
      </c>
      <c r="F45" s="10" t="str">
        <f t="shared" si="3"/>
        <v/>
      </c>
    </row>
    <row r="46" spans="1:6" x14ac:dyDescent="0.2">
      <c r="A46" s="4"/>
      <c r="B46" s="32"/>
      <c r="C46" s="8"/>
      <c r="D46" s="10" t="str">
        <f t="shared" si="2"/>
        <v/>
      </c>
      <c r="E46" s="24">
        <v>0.21</v>
      </c>
      <c r="F46" s="10" t="str">
        <f t="shared" si="3"/>
        <v/>
      </c>
    </row>
    <row r="47" spans="1:6" x14ac:dyDescent="0.2">
      <c r="A47" s="4"/>
      <c r="B47" s="32"/>
      <c r="C47" s="8"/>
      <c r="D47" s="10" t="str">
        <f t="shared" si="2"/>
        <v/>
      </c>
      <c r="E47" s="24">
        <v>0.21</v>
      </c>
      <c r="F47" s="10" t="str">
        <f t="shared" si="3"/>
        <v/>
      </c>
    </row>
    <row r="48" spans="1:6" x14ac:dyDescent="0.2">
      <c r="A48" s="4"/>
      <c r="B48" s="32"/>
      <c r="C48" s="8"/>
      <c r="D48" s="10" t="str">
        <f t="shared" si="2"/>
        <v/>
      </c>
      <c r="E48" s="24">
        <v>0.21</v>
      </c>
      <c r="F48" s="10" t="str">
        <f t="shared" si="3"/>
        <v/>
      </c>
    </row>
    <row r="49" spans="1:6" x14ac:dyDescent="0.2">
      <c r="A49" s="4"/>
      <c r="B49" s="32"/>
      <c r="C49" s="8"/>
      <c r="D49" s="10" t="str">
        <f t="shared" si="2"/>
        <v/>
      </c>
      <c r="E49" s="24">
        <v>0.21</v>
      </c>
      <c r="F49" s="10" t="str">
        <f t="shared" si="3"/>
        <v/>
      </c>
    </row>
    <row r="50" spans="1:6" x14ac:dyDescent="0.2">
      <c r="A50" s="4"/>
      <c r="B50" s="32"/>
      <c r="C50" s="8"/>
      <c r="D50" s="10" t="str">
        <f t="shared" si="2"/>
        <v/>
      </c>
      <c r="E50" s="24">
        <v>0.21</v>
      </c>
      <c r="F50" s="10" t="str">
        <f t="shared" si="3"/>
        <v/>
      </c>
    </row>
    <row r="51" spans="1:6" x14ac:dyDescent="0.2">
      <c r="A51" s="4"/>
      <c r="B51" s="32"/>
      <c r="C51" s="8"/>
      <c r="D51" s="10" t="str">
        <f t="shared" si="2"/>
        <v/>
      </c>
      <c r="E51" s="24">
        <v>0.21</v>
      </c>
      <c r="F51" s="10" t="str">
        <f t="shared" si="3"/>
        <v/>
      </c>
    </row>
    <row r="52" spans="1:6" x14ac:dyDescent="0.2">
      <c r="A52" s="4"/>
      <c r="B52" s="32"/>
      <c r="C52" s="8"/>
      <c r="D52" s="10" t="str">
        <f t="shared" si="2"/>
        <v/>
      </c>
      <c r="E52" s="24">
        <v>0.21</v>
      </c>
      <c r="F52" s="10" t="str">
        <f t="shared" si="3"/>
        <v/>
      </c>
    </row>
    <row r="53" spans="1:6" x14ac:dyDescent="0.2">
      <c r="A53" s="4"/>
      <c r="B53" s="32"/>
      <c r="C53" s="8"/>
      <c r="D53" s="10" t="str">
        <f t="shared" si="2"/>
        <v/>
      </c>
      <c r="E53" s="24">
        <v>0.21</v>
      </c>
      <c r="F53" s="10" t="str">
        <f t="shared" si="3"/>
        <v/>
      </c>
    </row>
    <row r="54" spans="1:6" x14ac:dyDescent="0.2">
      <c r="A54" s="4"/>
      <c r="B54" s="32"/>
      <c r="C54" s="8"/>
      <c r="D54" s="10" t="str">
        <f t="shared" si="2"/>
        <v/>
      </c>
      <c r="E54" s="24">
        <v>0.21</v>
      </c>
      <c r="F54" s="10" t="str">
        <f t="shared" si="3"/>
        <v/>
      </c>
    </row>
    <row r="55" spans="1:6" x14ac:dyDescent="0.2">
      <c r="A55" s="4"/>
      <c r="B55" s="32"/>
      <c r="C55" s="8"/>
      <c r="D55" s="10" t="str">
        <f t="shared" si="2"/>
        <v/>
      </c>
      <c r="E55" s="24">
        <v>0.21</v>
      </c>
      <c r="F55" s="10" t="str">
        <f t="shared" si="3"/>
        <v/>
      </c>
    </row>
    <row r="57" spans="1:6" x14ac:dyDescent="0.2">
      <c r="A57" s="36" t="s">
        <v>1247</v>
      </c>
      <c r="B57" s="35"/>
      <c r="C57" s="35"/>
      <c r="D57" s="35"/>
      <c r="E57" s="35"/>
      <c r="F57" s="35"/>
    </row>
    <row r="58" spans="1:6" x14ac:dyDescent="0.2">
      <c r="A58" s="1" t="s">
        <v>1263</v>
      </c>
      <c r="B58" s="10">
        <f>SUM(D6:D56)</f>
        <v>0</v>
      </c>
    </row>
    <row r="59" spans="1:6" x14ac:dyDescent="0.2">
      <c r="A59" s="1" t="s">
        <v>1249</v>
      </c>
      <c r="B59" s="10">
        <f>SUM(F6:F57)</f>
        <v>0</v>
      </c>
    </row>
    <row r="60" spans="1:6" x14ac:dyDescent="0.2">
      <c r="A60" s="25" t="s">
        <v>1264</v>
      </c>
      <c r="B60" s="26">
        <f>IF(B58="","",B58+B59)</f>
        <v>0</v>
      </c>
    </row>
  </sheetData>
  <mergeCells count="3">
    <mergeCell ref="A57:F57"/>
    <mergeCell ref="A1:F1"/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49FCF4-EE1F-4C03-A4C9-4DBE8CCD2F8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7e7f2dcd-0c2b-4478-ad05-247cf739c5b2"/>
    <ds:schemaRef ds:uri="7c6541c9-858d-46cc-aee4-1fa681dc1bd6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778379-F0A4-42B8-85F0-86F79B3721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EAEECE-AFD5-45DA-90D9-F35A46925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55</vt:i4>
      </vt:variant>
    </vt:vector>
  </HeadingPairs>
  <TitlesOfParts>
    <vt:vector size="60" baseType="lpstr">
      <vt:lpstr>Algemeen</vt:lpstr>
      <vt:lpstr>Lists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  <vt:lpstr>Water_begin</vt:lpstr>
      <vt:lpstr>Water_eind</vt:lpstr>
      <vt:lpstr>Water_verbruik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2025-12-01T15:37:10Z</dcterms:created>
  <dcterms:modified xsi:type="dcterms:W3CDTF">2025-12-01T16:46:06Z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