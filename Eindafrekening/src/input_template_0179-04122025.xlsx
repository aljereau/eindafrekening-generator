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jereaumarten/Library/CloudStorage/OneDrive-SharedLibraries-RyanRentB.V/RyanRent - General/01_RyanRent&amp;Co/Aljereau/Eindafrekening Generator/Eindafrekening/src/"/>
    </mc:Choice>
  </mc:AlternateContent>
  <xr:revisionPtr revIDLastSave="0" documentId="8_{83AAA7B5-C0B2-5A48-ADA8-2DC5841F8068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Algemeen" sheetId="1" r:id="rId1"/>
    <sheet name="Lists" sheetId="2" state="hidden" r:id="rId2"/>
    <sheet name="GWE_Detail" sheetId="3" r:id="rId3"/>
    <sheet name="Schoonmaak" sheetId="4" r:id="rId4"/>
    <sheet name="Schade" sheetId="5" r:id="rId5"/>
  </sheets>
  <definedNames>
    <definedName name="Aantal_dagen">Algemeen!$B$22</definedName>
    <definedName name="Borg_gebruikt">Algemeen!$B$53</definedName>
    <definedName name="Borg_terug">Algemeen!$B$54</definedName>
    <definedName name="BTW_percentage_schoonmaak">Algemeen!$B$38</definedName>
    <definedName name="Contractnummer">Algemeen!$B$43</definedName>
    <definedName name="Email">Algemeen!$B$9</definedName>
    <definedName name="Energie_leverancier">Algemeen!$B$42</definedName>
    <definedName name="Extra_schoonmaak_bedrag">Schoonmaak!$B$9</definedName>
    <definedName name="Extra_schoonmaak_bedrag_calc">Algemeen!$B$40</definedName>
    <definedName name="Extra_uren">Schoonmaak!$B$7</definedName>
    <definedName name="Extra_voorschot_bedrag">Algemeen!$B$31</definedName>
    <definedName name="Extra_voorschot_gebruikt">Algemeen!$B$57</definedName>
    <definedName name="Extra_voorschot_omschrijving">Algemeen!$B$32</definedName>
    <definedName name="Extra_voorschot_restschade">Algemeen!$B$59</definedName>
    <definedName name="Extra_voorschot_terug">Algemeen!$B$58</definedName>
    <definedName name="Gas_begin">GWE_Detail!$B$7</definedName>
    <definedName name="Gas_eind">GWE_Detail!$B$8</definedName>
    <definedName name="Gas_verbruik">GWE_Detail!$B$9</definedName>
    <definedName name="GWE_Beheer">Algemeen!$B$26</definedName>
    <definedName name="GWE_BTW">GWE_Detail!$B$39</definedName>
    <definedName name="GWE_Maandbedrag">Algemeen!$B$27</definedName>
    <definedName name="GWE_meer_minder">Algemeen!$B$56</definedName>
    <definedName name="GWE_totaal_excl">GWE_Detail!$B$38</definedName>
    <definedName name="GWE_totaal_incl">GWE_Detail!$B$40</definedName>
    <definedName name="Inbegrepen_uren">Algemeen!$B$36</definedName>
    <definedName name="Incheck_datum">Algemeen!$B$20</definedName>
    <definedName name="Klant_Adres">Algemeen!$B$6</definedName>
    <definedName name="Klant_Plaats">Algemeen!$B$8</definedName>
    <definedName name="Klant_Postcode">Algemeen!$B$7</definedName>
    <definedName name="Klantnaam">Algemeen!$B$4</definedName>
    <definedName name="Klantnummer">Algemeen!$B$5</definedName>
    <definedName name="KWh_begin">GWE_Detail!$B$4</definedName>
    <definedName name="KWh_eind">GWE_Detail!$B$5</definedName>
    <definedName name="KWh_verbruik">GWE_Detail!$B$6</definedName>
    <definedName name="Meterbeheerder">Algemeen!$B$41</definedName>
    <definedName name="Object_adres">Algemeen!$B$12</definedName>
    <definedName name="Object_ID">Algemeen!$B$17</definedName>
    <definedName name="Overige_voorschotten">Algemeen!$B$30</definedName>
    <definedName name="Plaats">Algemeen!$B$16</definedName>
    <definedName name="Postcode">Algemeen!$B$15</definedName>
    <definedName name="Restschade">Algemeen!$B$55</definedName>
    <definedName name="RR_Factuurnummer">Algemeen!$B$50</definedName>
    <definedName name="RR_Folder_link">Algemeen!$B$47</definedName>
    <definedName name="RR_Inspecteur">Algemeen!$B$49</definedName>
    <definedName name="RR_Klantnummer">Algemeen!$B$46</definedName>
    <definedName name="RR_Projectleider">Algemeen!$B$48</definedName>
    <definedName name="Schade_BTW">Schade!$B$59</definedName>
    <definedName name="Schade_totaal_excl">Schade!$B$58</definedName>
    <definedName name="Schade_totaal_incl">Schade!$B$60</definedName>
    <definedName name="Schoonmaak_pakket">Algemeen!$B$35</definedName>
    <definedName name="Schoonmaak_totaal_kosten">Algemeen!$B$39</definedName>
    <definedName name="Totaal_eindafrekening">Algemeen!$B$60</definedName>
    <definedName name="Totaal_uren_gew">Schoonmaak!$B$6</definedName>
    <definedName name="Uitcheck_datum">Algemeen!$B$21</definedName>
    <definedName name="Unit_nr">Algemeen!$B$14</definedName>
    <definedName name="Uurtarief_schoonmaak">Algemeen!$B$37</definedName>
    <definedName name="Voorschot_borg">Algemeen!$B$25</definedName>
    <definedName name="Voorschot_GWE">Algemeen!$B$28</definedName>
    <definedName name="Voorschot_schoonmaak">Algemeen!$B$29</definedName>
    <definedName name="Water_begin">GWE_Detail!$B$10</definedName>
    <definedName name="Water_eind">GWE_Detail!$B$11</definedName>
    <definedName name="Water_verbruik">GWE_Detail!$B$12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5" i="3"/>
  <c r="B46" i="1"/>
  <c r="D55" i="5"/>
  <c r="F55" i="5" s="1"/>
  <c r="D54" i="5"/>
  <c r="F54" i="5" s="1"/>
  <c r="F53" i="5"/>
  <c r="D53" i="5"/>
  <c r="D52" i="5"/>
  <c r="F52" i="5" s="1"/>
  <c r="D51" i="5"/>
  <c r="F51" i="5" s="1"/>
  <c r="F50" i="5"/>
  <c r="D50" i="5"/>
  <c r="D49" i="5"/>
  <c r="F49" i="5" s="1"/>
  <c r="D48" i="5"/>
  <c r="F48" i="5" s="1"/>
  <c r="D47" i="5"/>
  <c r="F47" i="5" s="1"/>
  <c r="F46" i="5"/>
  <c r="D46" i="5"/>
  <c r="D45" i="5"/>
  <c r="F45" i="5" s="1"/>
  <c r="D44" i="5"/>
  <c r="F44" i="5" s="1"/>
  <c r="F43" i="5"/>
  <c r="D43" i="5"/>
  <c r="D42" i="5"/>
  <c r="F42" i="5" s="1"/>
  <c r="D41" i="5"/>
  <c r="F41" i="5" s="1"/>
  <c r="D40" i="5"/>
  <c r="F40" i="5" s="1"/>
  <c r="F39" i="5"/>
  <c r="D39" i="5"/>
  <c r="D38" i="5"/>
  <c r="F38" i="5" s="1"/>
  <c r="D37" i="5"/>
  <c r="F37" i="5" s="1"/>
  <c r="F36" i="5"/>
  <c r="D36" i="5"/>
  <c r="D35" i="5"/>
  <c r="F35" i="5" s="1"/>
  <c r="D34" i="5"/>
  <c r="F34" i="5" s="1"/>
  <c r="D33" i="5"/>
  <c r="F33" i="5" s="1"/>
  <c r="F32" i="5"/>
  <c r="D32" i="5"/>
  <c r="D31" i="5"/>
  <c r="F31" i="5" s="1"/>
  <c r="D30" i="5"/>
  <c r="F30" i="5" s="1"/>
  <c r="F29" i="5"/>
  <c r="D29" i="5"/>
  <c r="D28" i="5"/>
  <c r="F28" i="5" s="1"/>
  <c r="D27" i="5"/>
  <c r="F27" i="5" s="1"/>
  <c r="D26" i="5"/>
  <c r="F26" i="5" s="1"/>
  <c r="F25" i="5"/>
  <c r="D25" i="5"/>
  <c r="D24" i="5"/>
  <c r="F24" i="5" s="1"/>
  <c r="D23" i="5"/>
  <c r="F23" i="5" s="1"/>
  <c r="F22" i="5"/>
  <c r="D22" i="5"/>
  <c r="D21" i="5"/>
  <c r="F21" i="5" s="1"/>
  <c r="D20" i="5"/>
  <c r="F20" i="5" s="1"/>
  <c r="D19" i="5"/>
  <c r="F19" i="5" s="1"/>
  <c r="F18" i="5"/>
  <c r="D18" i="5"/>
  <c r="D17" i="5"/>
  <c r="F17" i="5" s="1"/>
  <c r="D16" i="5"/>
  <c r="F16" i="5" s="1"/>
  <c r="F15" i="5"/>
  <c r="D15" i="5"/>
  <c r="D14" i="5"/>
  <c r="F14" i="5" s="1"/>
  <c r="D13" i="5"/>
  <c r="F13" i="5" s="1"/>
  <c r="D12" i="5"/>
  <c r="F12" i="5" s="1"/>
  <c r="F11" i="5"/>
  <c r="D11" i="5"/>
  <c r="D10" i="5"/>
  <c r="F10" i="5" s="1"/>
  <c r="D9" i="5"/>
  <c r="F9" i="5" s="1"/>
  <c r="F8" i="5"/>
  <c r="D8" i="5"/>
  <c r="D7" i="5"/>
  <c r="F7" i="5" s="1"/>
  <c r="D6" i="5"/>
  <c r="B58" i="5" s="1"/>
  <c r="B8" i="4"/>
  <c r="B4" i="4"/>
  <c r="B5" i="4" s="1"/>
  <c r="B7" i="4" s="1"/>
  <c r="B9" i="4" s="1"/>
  <c r="D36" i="3"/>
  <c r="F36" i="3" s="1"/>
  <c r="H36" i="3" s="1"/>
  <c r="C36" i="3"/>
  <c r="D35" i="3"/>
  <c r="F35" i="3" s="1"/>
  <c r="H35" i="3" s="1"/>
  <c r="C35" i="3"/>
  <c r="D34" i="3"/>
  <c r="F34" i="3" s="1"/>
  <c r="H34" i="3" s="1"/>
  <c r="C34" i="3"/>
  <c r="D33" i="3"/>
  <c r="F33" i="3" s="1"/>
  <c r="H33" i="3" s="1"/>
  <c r="C33" i="3"/>
  <c r="D32" i="3"/>
  <c r="F32" i="3" s="1"/>
  <c r="H32" i="3" s="1"/>
  <c r="C32" i="3"/>
  <c r="D31" i="3"/>
  <c r="F31" i="3" s="1"/>
  <c r="H31" i="3" s="1"/>
  <c r="C31" i="3"/>
  <c r="D30" i="3"/>
  <c r="F30" i="3" s="1"/>
  <c r="H30" i="3" s="1"/>
  <c r="C30" i="3"/>
  <c r="D29" i="3"/>
  <c r="F29" i="3" s="1"/>
  <c r="H29" i="3" s="1"/>
  <c r="C29" i="3"/>
  <c r="D28" i="3"/>
  <c r="F28" i="3" s="1"/>
  <c r="H28" i="3" s="1"/>
  <c r="C28" i="3"/>
  <c r="F27" i="3"/>
  <c r="H27" i="3" s="1"/>
  <c r="F26" i="3"/>
  <c r="H26" i="3" s="1"/>
  <c r="D25" i="3"/>
  <c r="F25" i="3" s="1"/>
  <c r="H25" i="3" s="1"/>
  <c r="C25" i="3"/>
  <c r="C21" i="3"/>
  <c r="D20" i="3"/>
  <c r="F20" i="3" s="1"/>
  <c r="H20" i="3" s="1"/>
  <c r="C20" i="3"/>
  <c r="D19" i="3"/>
  <c r="F19" i="3" s="1"/>
  <c r="H19" i="3" s="1"/>
  <c r="C19" i="3"/>
  <c r="F18" i="3"/>
  <c r="H18" i="3" s="1"/>
  <c r="D17" i="3"/>
  <c r="F17" i="3" s="1"/>
  <c r="C17" i="3"/>
  <c r="B12" i="3"/>
  <c r="B6" i="3"/>
  <c r="F22" i="3" s="1"/>
  <c r="H22" i="3" s="1"/>
  <c r="B59" i="1"/>
  <c r="B58" i="1"/>
  <c r="B39" i="1"/>
  <c r="B40" i="1" s="1"/>
  <c r="B36" i="1"/>
  <c r="B22" i="1"/>
  <c r="B28" i="1" s="1"/>
  <c r="B17" i="1"/>
  <c r="B16" i="1"/>
  <c r="B15" i="1"/>
  <c r="B13" i="1"/>
  <c r="B9" i="1"/>
  <c r="B8" i="1"/>
  <c r="B7" i="1"/>
  <c r="B6" i="1"/>
  <c r="B5" i="1"/>
  <c r="F24" i="3" l="1"/>
  <c r="H24" i="3" s="1"/>
  <c r="D21" i="3"/>
  <c r="F21" i="3" s="1"/>
  <c r="H21" i="3" s="1"/>
  <c r="F23" i="3"/>
  <c r="H23" i="3" s="1"/>
  <c r="H17" i="3"/>
  <c r="F6" i="5"/>
  <c r="B59" i="5" s="1"/>
  <c r="B60" i="5" s="1"/>
  <c r="B53" i="1" s="1"/>
  <c r="B38" i="3" l="1"/>
  <c r="B39" i="3"/>
  <c r="B40" i="3"/>
  <c r="B56" i="1" s="1"/>
  <c r="B55" i="1"/>
  <c r="B54" i="1"/>
  <c r="B60" i="1" l="1"/>
</calcChain>
</file>

<file path=xl/sharedStrings.xml><?xml version="1.0" encoding="utf-8"?>
<sst xmlns="http://schemas.openxmlformats.org/spreadsheetml/2006/main" count="2986" uniqueCount="2355">
  <si>
    <t>RYANRENT EINDAFREKENING - BASISGEGEVENS</t>
  </si>
  <si>
    <t>KLANTGEGEVENS</t>
  </si>
  <si>
    <t>Naam Klant *</t>
  </si>
  <si>
    <t>Klantnummer (automatisch)</t>
  </si>
  <si>
    <t>Adres (automatisch)</t>
  </si>
  <si>
    <t>Postcode (automatisch)</t>
  </si>
  <si>
    <t>Plaats (automatisch)</t>
  </si>
  <si>
    <t>Email (automatisch)</t>
  </si>
  <si>
    <t>OBJECTGEGEVENS</t>
  </si>
  <si>
    <t>Adres Object *</t>
  </si>
  <si>
    <t>Object ID (automatisch)</t>
  </si>
  <si>
    <t>Unit Nummer</t>
  </si>
  <si>
    <t>Postcode</t>
  </si>
  <si>
    <t>Plaats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</si>
  <si>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</si>
  <si>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</si>
  <si>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</si>
  <si>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</si>
  <si>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</si>
  <si>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</si>
  <si>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GWE Beheer *</t>
  </si>
  <si>
    <t>GWE Maandbedrag</t>
  </si>
  <si>
    <t>Voorschot GWE (automatisch)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</si>
  <si>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</si>
  <si>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</si>
  <si>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</si>
  <si>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</si>
  <si>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</si>
  <si>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</si>
  <si>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</si>
  <si>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(excl. BTW) *</t>
  </si>
  <si>
    <t>BTW Percentage Schoonmaak *</t>
  </si>
  <si>
    <t>Schoonmaak Totaal Kosten (automatisch)</t>
  </si>
  <si>
    <t>Extra Schoonmaak Bedrag (automatisch)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</si>
  <si>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</si>
  <si>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</si>
  <si>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</si>
  <si>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</si>
  <si>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</si>
  <si>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</si>
  <si>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</si>
  <si>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</si>
  <si>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</si>
  <si>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</si>
  <si>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</si>
  <si>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</si>
  <si>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</si>
  <si>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</si>
  <si>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</si>
  <si>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</si>
  <si>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</si>
  <si>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</si>
  <si>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</si>
  <si>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Address</t>
  </si>
  <si>
    <t>Object ID</t>
  </si>
  <si>
    <t>Naam</t>
  </si>
  <si>
    <t>Klantnummer</t>
  </si>
  <si>
    <t>Adres</t>
  </si>
  <si>
    <t>Email</t>
  </si>
  <si>
    <t>1e</t>
  </si>
  <si>
    <t>0388</t>
  </si>
  <si>
    <t>Middellandstraat 104A</t>
  </si>
  <si>
    <t>'t Werkt B.V.</t>
  </si>
  <si>
    <t>Burgemeester Meslaan 98</t>
  </si>
  <si>
    <t>TIEL</t>
  </si>
  <si>
    <t>finance@twerkt.nl</t>
  </si>
  <si>
    <t>2e Maasbosstraat 2 a</t>
  </si>
  <si>
    <t>0148</t>
  </si>
  <si>
    <t>VLAARDINGEN</t>
  </si>
  <si>
    <t>24/7 drive</t>
  </si>
  <si>
    <t>Ekkersrijt 7025</t>
  </si>
  <si>
    <t>SON EN BREUGEL</t>
  </si>
  <si>
    <t>factuur@247drive.nl</t>
  </si>
  <si>
    <t>2e Maasbosstraat 2 b</t>
  </si>
  <si>
    <t>0149</t>
  </si>
  <si>
    <t>2807BB</t>
  </si>
  <si>
    <t>Gouda</t>
  </si>
  <si>
    <t>4 Homes B.V.</t>
  </si>
  <si>
    <t>2e Maasbosstraat 2 c</t>
  </si>
  <si>
    <t>0150</t>
  </si>
  <si>
    <t>7553LC</t>
  </si>
  <si>
    <t>Hengelo</t>
  </si>
  <si>
    <t>Prins Reinierstraat 18a</t>
  </si>
  <si>
    <t>Steenbergen</t>
  </si>
  <si>
    <t>factuur@4homes.nl</t>
  </si>
  <si>
    <t>2e van Leydengaelstraat 6</t>
  </si>
  <si>
    <t>0022</t>
  </si>
  <si>
    <t>1779GJ</t>
  </si>
  <si>
    <t xml:space="preserve">Den Oever </t>
  </si>
  <si>
    <t>A. Blaszcak</t>
  </si>
  <si>
    <t>Prof. Kernkampstraat 24</t>
  </si>
  <si>
    <t>Tilburg</t>
  </si>
  <si>
    <t>info@aneta.nl</t>
  </si>
  <si>
    <t>Abelenlaan 143</t>
  </si>
  <si>
    <t>0014</t>
  </si>
  <si>
    <t>Den Oever</t>
  </si>
  <si>
    <t>A. Brouwers en S. Brouwers- van Weert</t>
  </si>
  <si>
    <t>Dokter Barentsenstraat 42</t>
  </si>
  <si>
    <t>Bergeyk</t>
  </si>
  <si>
    <t>Acacia 2</t>
  </si>
  <si>
    <t>0003</t>
  </si>
  <si>
    <t>3224EB</t>
  </si>
  <si>
    <t>Hellevoetsluis</t>
  </si>
  <si>
    <t>A. Dzaka</t>
  </si>
  <si>
    <t>Merwedepad 29</t>
  </si>
  <si>
    <t>Rozenburg ZH</t>
  </si>
  <si>
    <t>adisa-kemo@hotmail.com</t>
  </si>
  <si>
    <t>Acacialaan 9</t>
  </si>
  <si>
    <t>0223</t>
  </si>
  <si>
    <t>3085CZ</t>
  </si>
  <si>
    <t>Rotterdam</t>
  </si>
  <si>
    <t>A. Ghali</t>
  </si>
  <si>
    <t>Rooseveltlaan 956</t>
  </si>
  <si>
    <t>Utrecht</t>
  </si>
  <si>
    <t>Achterdijk 47</t>
  </si>
  <si>
    <t>0190</t>
  </si>
  <si>
    <t>3071EE</t>
  </si>
  <si>
    <t>A. Verschueren</t>
  </si>
  <si>
    <t>Mangelbeekstraat 1</t>
  </si>
  <si>
    <t>verhuur@reham.nl</t>
  </si>
  <si>
    <t>Adriaan Baasstraat 34</t>
  </si>
  <si>
    <t>0007</t>
  </si>
  <si>
    <t>A.H.S. Willemsen</t>
  </si>
  <si>
    <t>huurwoningarnhem@gmail.com</t>
  </si>
  <si>
    <t>Akkerweg 41</t>
  </si>
  <si>
    <t>0384</t>
  </si>
  <si>
    <t>[huis 58]</t>
  </si>
  <si>
    <t>A.I.G. Lukkien</t>
  </si>
  <si>
    <t>Achterstekamp 28</t>
  </si>
  <si>
    <t>Stadskanaal</t>
  </si>
  <si>
    <t>Akkerweg 41 [010]</t>
  </si>
  <si>
    <t>0341</t>
  </si>
  <si>
    <t>Den oever</t>
  </si>
  <si>
    <t>A.P.W. Koedooder</t>
  </si>
  <si>
    <t>Isaac Beeckmanhof 1</t>
  </si>
  <si>
    <t>ROTTERDAM</t>
  </si>
  <si>
    <t>apwkoedooder@gmail.com</t>
  </si>
  <si>
    <t>Akkerweg 41 [011]</t>
  </si>
  <si>
    <t>0372</t>
  </si>
  <si>
    <t>A.W.N. Alkemade</t>
  </si>
  <si>
    <t>Laan van Pluymestein 36</t>
  </si>
  <si>
    <t>WASSENAAR</t>
  </si>
  <si>
    <t>melkveebedrijfalkemade@kpnmail.nl</t>
  </si>
  <si>
    <t>Akkerweg 41 [014]</t>
  </si>
  <si>
    <t>0293</t>
  </si>
  <si>
    <t>A.Y. Nicolai</t>
  </si>
  <si>
    <t>De Setangel 14</t>
  </si>
  <si>
    <t>GROU</t>
  </si>
  <si>
    <t>famnicolai@hotmail.com</t>
  </si>
  <si>
    <t>Akkerweg 41 [015]</t>
  </si>
  <si>
    <t>0294</t>
  </si>
  <si>
    <t>ABC Bedrijfsservice B.V</t>
  </si>
  <si>
    <t>Sint Canisiussingel 36</t>
  </si>
  <si>
    <t>Nijmegen</t>
  </si>
  <si>
    <t>randy@abc-jobs.eu</t>
  </si>
  <si>
    <t>Akkerweg 41 [016]</t>
  </si>
  <si>
    <t>0342</t>
  </si>
  <si>
    <t>AKRION ADMINISTRATION</t>
  </si>
  <si>
    <t>Corn. Speelmanstraat 77</t>
  </si>
  <si>
    <t>'s-Gravenhage</t>
  </si>
  <si>
    <t>info@interm-project.com</t>
  </si>
  <si>
    <t>Akkerweg 41 [017]</t>
  </si>
  <si>
    <t>0373</t>
  </si>
  <si>
    <t>AKT Autoschade</t>
  </si>
  <si>
    <t>Goirkekanaaldijk 211-18</t>
  </si>
  <si>
    <t>facturen@aktautoschade.com</t>
  </si>
  <si>
    <t>Akkerweg 41 [018]</t>
  </si>
  <si>
    <t>0295</t>
  </si>
  <si>
    <t>Adecco Group</t>
  </si>
  <si>
    <t>Zaltbommel</t>
  </si>
  <si>
    <t>crediteurenadministratie@adecco.nl</t>
  </si>
  <si>
    <t>Akkerweg 41 [019]</t>
  </si>
  <si>
    <t>0343</t>
  </si>
  <si>
    <t>Aelbers Flexibele Personeels Diensten B.V.</t>
  </si>
  <si>
    <t>Grutbroek 15</t>
  </si>
  <si>
    <t>Doetinchem</t>
  </si>
  <si>
    <t>facturen@aelberspersoneel.nl</t>
  </si>
  <si>
    <t>Akkerweg 41 [020]</t>
  </si>
  <si>
    <t>0383</t>
  </si>
  <si>
    <t>Alis Vastgoed B.V.</t>
  </si>
  <si>
    <t>Fruitweg 25</t>
  </si>
  <si>
    <t>'S-GRAVENHAGE</t>
  </si>
  <si>
    <t>rifat@prokonak.nl</t>
  </si>
  <si>
    <t>Akkerweg 41 [022]</t>
  </si>
  <si>
    <t>0296</t>
  </si>
  <si>
    <t>Alpha Workforce Aps</t>
  </si>
  <si>
    <t>Priory Hall</t>
  </si>
  <si>
    <t>Dublin</t>
  </si>
  <si>
    <t>operations@alphaworkforce.net</t>
  </si>
  <si>
    <t>Akkerweg 41 [026]</t>
  </si>
  <si>
    <t>0297</t>
  </si>
  <si>
    <t>AmDor Projecten B.V.</t>
  </si>
  <si>
    <t>Maarsseveensevaart 92</t>
  </si>
  <si>
    <t>MAARSSEN</t>
  </si>
  <si>
    <t>invoice@amdorprojecten.nl</t>
  </si>
  <si>
    <t>Akkerweg 41 [031]</t>
  </si>
  <si>
    <t>0298</t>
  </si>
  <si>
    <t>Autobedrijf Voorne</t>
  </si>
  <si>
    <t>Langeweg 3</t>
  </si>
  <si>
    <t>OOSTVOORNE</t>
  </si>
  <si>
    <t>info@autobedrijfvoorne.nl</t>
  </si>
  <si>
    <t>Akkerweg 41 [035]</t>
  </si>
  <si>
    <t>0350</t>
  </si>
  <si>
    <t>Autobedrijf W. Bronder</t>
  </si>
  <si>
    <t>Boomweg 17</t>
  </si>
  <si>
    <t>Rockanje</t>
  </si>
  <si>
    <t>k.bronder@outlook.com</t>
  </si>
  <si>
    <t>Akkerweg 41 [036]</t>
  </si>
  <si>
    <t>0356</t>
  </si>
  <si>
    <t>Autodaxx B.V.</t>
  </si>
  <si>
    <t>Argon 21</t>
  </si>
  <si>
    <t>OUD GASTEL</t>
  </si>
  <si>
    <t>inkoopfactuur@autodaxx.nl</t>
  </si>
  <si>
    <t>Akkerweg 41 [037]</t>
  </si>
  <si>
    <t>0299</t>
  </si>
  <si>
    <t>B. Bosch</t>
  </si>
  <si>
    <t>Stuartweg 29</t>
  </si>
  <si>
    <t>Vianen</t>
  </si>
  <si>
    <t>brucebosch@live.nl</t>
  </si>
  <si>
    <t>Akkerweg 41 [038]</t>
  </si>
  <si>
    <t>0357</t>
  </si>
  <si>
    <t>B. van Abeelen</t>
  </si>
  <si>
    <t>Blauwloop 2</t>
  </si>
  <si>
    <t>Loon op Zand</t>
  </si>
  <si>
    <t>vanabeelenstucadoorsbedrijf@gmail.com</t>
  </si>
  <si>
    <t>Akkerweg 41 [040]</t>
  </si>
  <si>
    <t>0300</t>
  </si>
  <si>
    <t>BDR Uitzendbureau B.V.</t>
  </si>
  <si>
    <t>Sint-Andriesstraat 222</t>
  </si>
  <si>
    <t>muratbayka@gmail.com</t>
  </si>
  <si>
    <t>Akkerweg 41 [041]</t>
  </si>
  <si>
    <t>0301</t>
  </si>
  <si>
    <t>BJ Bakker</t>
  </si>
  <si>
    <t>Spiens 3</t>
  </si>
  <si>
    <t>Dokkum</t>
  </si>
  <si>
    <t>bjbakker85@hotmail.com</t>
  </si>
  <si>
    <t>Akkerweg 41 [042]</t>
  </si>
  <si>
    <t>0302</t>
  </si>
  <si>
    <t>Bator V.O.F.</t>
  </si>
  <si>
    <t>Jacob Marisstraat 37</t>
  </si>
  <si>
    <t>Zwijndrecht</t>
  </si>
  <si>
    <t>Akkerweg 41 [055]</t>
  </si>
  <si>
    <t>0303</t>
  </si>
  <si>
    <t>Best@Work B.V.</t>
  </si>
  <si>
    <t>Industrieweg 74-76</t>
  </si>
  <si>
    <t>WAALWIJK</t>
  </si>
  <si>
    <t>info@bestatwork.nl</t>
  </si>
  <si>
    <t>Akkerweg 41 [056]</t>
  </si>
  <si>
    <t>0304</t>
  </si>
  <si>
    <t>Betterway BV</t>
  </si>
  <si>
    <t>Nijverheidsweg-Noord 81</t>
  </si>
  <si>
    <t>Amersfoort</t>
  </si>
  <si>
    <t>rbecker@fbaivastgoed.com</t>
  </si>
  <si>
    <t>Akkerweg 41 [057]</t>
  </si>
  <si>
    <t>0305</t>
  </si>
  <si>
    <t>Bosch B Dhr (Scheepjesbrug 814 Meerkerk)</t>
  </si>
  <si>
    <t>Nolweg 9</t>
  </si>
  <si>
    <t>Schelluinen</t>
  </si>
  <si>
    <t>Akkerweg 41 [059]</t>
  </si>
  <si>
    <t>0306</t>
  </si>
  <si>
    <t>Bouius</t>
  </si>
  <si>
    <t>Jan van Scorelstraat 50</t>
  </si>
  <si>
    <t>Leeuwarden</t>
  </si>
  <si>
    <t>r.bouius@hotmail.com</t>
  </si>
  <si>
    <t>Akkerweg 41 [068]</t>
  </si>
  <si>
    <t>0326</t>
  </si>
  <si>
    <t>Bouw Service International B.V.</t>
  </si>
  <si>
    <t>Kanaal Noord 446</t>
  </si>
  <si>
    <t>BEEMTE BROEKLAND</t>
  </si>
  <si>
    <t>bouwserviceinternational@gmail.com</t>
  </si>
  <si>
    <t>Akkerweg 41 [074]</t>
  </si>
  <si>
    <t>0379</t>
  </si>
  <si>
    <t>Bright Home Rentals B.V.</t>
  </si>
  <si>
    <t>Ebweg 73</t>
  </si>
  <si>
    <t>BARENDRECHT</t>
  </si>
  <si>
    <t>administratie@brighthomerentals.nl</t>
  </si>
  <si>
    <t>Akkerweg 41 [075]</t>
  </si>
  <si>
    <t>0307</t>
  </si>
  <si>
    <t>Business Housing</t>
  </si>
  <si>
    <t>Oosteinde 26</t>
  </si>
  <si>
    <t>Oud Alblas</t>
  </si>
  <si>
    <t>eliane@zamens.nl</t>
  </si>
  <si>
    <t>Allard Piersonlaan 142</t>
  </si>
  <si>
    <t>0002</t>
  </si>
  <si>
    <t>2522 MT</t>
  </si>
  <si>
    <t>Den Haag</t>
  </si>
  <si>
    <t>Buurman Vastgoed E B.V.</t>
  </si>
  <si>
    <t>Westerweg 291</t>
  </si>
  <si>
    <t>Alkmaar</t>
  </si>
  <si>
    <t>admin@inexho.com</t>
  </si>
  <si>
    <t>Ambergweg 14</t>
  </si>
  <si>
    <t>0201</t>
  </si>
  <si>
    <t>3081JH</t>
  </si>
  <si>
    <t>Bw-engineering</t>
  </si>
  <si>
    <t>van Brakelstraat 66</t>
  </si>
  <si>
    <t>r.adelaar@bw-engineering.nl</t>
  </si>
  <si>
    <t>Amperelaan 23</t>
  </si>
  <si>
    <t>0043</t>
  </si>
  <si>
    <t>3131 HC</t>
  </si>
  <si>
    <t>Vlaardingen</t>
  </si>
  <si>
    <t>C-Flex B.V.</t>
  </si>
  <si>
    <t>Kerkenbos 1051</t>
  </si>
  <si>
    <t>administratie@cflexbv.nl</t>
  </si>
  <si>
    <t>Amperestraat 36A</t>
  </si>
  <si>
    <t>0135</t>
  </si>
  <si>
    <t>3112 GA</t>
  </si>
  <si>
    <t>Schiedam</t>
  </si>
  <si>
    <t>C. van Winsen</t>
  </si>
  <si>
    <t>Emmastraat 10</t>
  </si>
  <si>
    <t>Noordwijkerhout</t>
  </si>
  <si>
    <t>coenvanwinsen@gmail.com</t>
  </si>
  <si>
    <t>Archimedesstraat 6B</t>
  </si>
  <si>
    <t>0353</t>
  </si>
  <si>
    <t>3112DB</t>
  </si>
  <si>
    <t>CASS Construction and Steel Structures Sp. z o.o</t>
  </si>
  <si>
    <t>Grzybów 78</t>
  </si>
  <si>
    <t>Staszów</t>
  </si>
  <si>
    <t>p.samborski@cass.com.pl</t>
  </si>
  <si>
    <t>Arkelse onderweg 24a</t>
  </si>
  <si>
    <t>0008</t>
  </si>
  <si>
    <t>CB Construction UAB</t>
  </si>
  <si>
    <t>Chemijos g.27c-62</t>
  </si>
  <si>
    <t>Kaunas</t>
  </si>
  <si>
    <t>info@cbconstruction.eu</t>
  </si>
  <si>
    <t>Baanhoek 137</t>
  </si>
  <si>
    <t>0367</t>
  </si>
  <si>
    <t>Sliedrecht</t>
  </si>
  <si>
    <t>CB-Homes B.V.</t>
  </si>
  <si>
    <t>Langeweg 3 a</t>
  </si>
  <si>
    <t>info@cb-homes.nl</t>
  </si>
  <si>
    <t>Baanhoek 19</t>
  </si>
  <si>
    <t>0055</t>
  </si>
  <si>
    <t>3028GH</t>
  </si>
  <si>
    <t>Central Job Facilities B.V.</t>
  </si>
  <si>
    <t>Hoofdweg 649</t>
  </si>
  <si>
    <t>HOOFDDORP</t>
  </si>
  <si>
    <t>invoice@centraljob.nl</t>
  </si>
  <si>
    <t>Baarlelaan 27</t>
  </si>
  <si>
    <t>0012</t>
  </si>
  <si>
    <t>City Estate B.V.</t>
  </si>
  <si>
    <t>Oudegracht 312</t>
  </si>
  <si>
    <t>UTRECHT</t>
  </si>
  <si>
    <t>huren@cityestate.nl</t>
  </si>
  <si>
    <t>Baarsveen 197</t>
  </si>
  <si>
    <t>0013</t>
  </si>
  <si>
    <t>3205 BB</t>
  </si>
  <si>
    <t>Spijkenisse</t>
  </si>
  <si>
    <t>Crown Uitzendgroep</t>
  </si>
  <si>
    <t>Beatrixstraat 3</t>
  </si>
  <si>
    <t>0040</t>
  </si>
  <si>
    <t>8325BD</t>
  </si>
  <si>
    <t>Vollenhove</t>
  </si>
  <si>
    <t>D Blommers</t>
  </si>
  <si>
    <t>d_blommers@hotmail.com</t>
  </si>
  <si>
    <t>Beeklaan 294</t>
  </si>
  <si>
    <t>0152</t>
  </si>
  <si>
    <t>1181TV</t>
  </si>
  <si>
    <t>Amstelveen</t>
  </si>
  <si>
    <t>D Kleijweg</t>
  </si>
  <si>
    <t>devinkleijweg@hotmail.com</t>
  </si>
  <si>
    <t>Besterdring 6</t>
  </si>
  <si>
    <t>0060</t>
  </si>
  <si>
    <t>2445AN</t>
  </si>
  <si>
    <t>Aarlanderveen</t>
  </si>
  <si>
    <t>D. Walma</t>
  </si>
  <si>
    <t>Ceresweg 46-C</t>
  </si>
  <si>
    <t>info@timmerbedrijfwalma.nl</t>
  </si>
  <si>
    <t>Bettingeslag 10</t>
  </si>
  <si>
    <t>0322</t>
  </si>
  <si>
    <t>7824HD</t>
  </si>
  <si>
    <t>Emmen</t>
  </si>
  <si>
    <t>DB Beheer B.V.</t>
  </si>
  <si>
    <t>Sportlaan 257</t>
  </si>
  <si>
    <t>SLIEDRECHT</t>
  </si>
  <si>
    <t>info@dbwork.com</t>
  </si>
  <si>
    <t>Beukenlaan 53</t>
  </si>
  <si>
    <t>0346</t>
  </si>
  <si>
    <t>3181XA</t>
  </si>
  <si>
    <t>Rozenburg</t>
  </si>
  <si>
    <t>DB woonruimtebemiddeling</t>
  </si>
  <si>
    <t>Vonderweg 29</t>
  </si>
  <si>
    <t>ENTER</t>
  </si>
  <si>
    <t>uren@dbgroup.nl</t>
  </si>
  <si>
    <t>Bisschopstraat 68</t>
  </si>
  <si>
    <t>0047</t>
  </si>
  <si>
    <t>3131 DB</t>
  </si>
  <si>
    <t>DIT en Larex Vakpersoneel B.V.</t>
  </si>
  <si>
    <t>Maagdenburgstraat 10</t>
  </si>
  <si>
    <t>DEVENTER</t>
  </si>
  <si>
    <t>factuur@ditenlarexvakpersoneel.nl</t>
  </si>
  <si>
    <t>Bliek 41</t>
  </si>
  <si>
    <t>0048</t>
  </si>
  <si>
    <t>8442EX</t>
  </si>
  <si>
    <t>Heerenveen</t>
  </si>
  <si>
    <t>DNACC B.V. / Rolbakkie</t>
  </si>
  <si>
    <t>Aziehavenweg 18</t>
  </si>
  <si>
    <t>Amsterdam</t>
  </si>
  <si>
    <t>Bornerbroekstraat 129A</t>
  </si>
  <si>
    <t>0049</t>
  </si>
  <si>
    <t>8442GA</t>
  </si>
  <si>
    <t>DS People B.V.</t>
  </si>
  <si>
    <t>Deltageul 13</t>
  </si>
  <si>
    <t>STELLENDAM</t>
  </si>
  <si>
    <t>Facturen@dspeople.nl</t>
  </si>
  <si>
    <t>Bovendijk 59</t>
  </si>
  <si>
    <t>0280</t>
  </si>
  <si>
    <t>Kwintsheul</t>
  </si>
  <si>
    <t>De Borgmeren B.V.</t>
  </si>
  <si>
    <t>Hoofdweg 34</t>
  </si>
  <si>
    <t>SCHARMER</t>
  </si>
  <si>
    <t>borgmeren@live.nl</t>
  </si>
  <si>
    <t>Bovendijk 61</t>
  </si>
  <si>
    <t>0281</t>
  </si>
  <si>
    <t>De Pagter Vastgoed B.V.</t>
  </si>
  <si>
    <t>Molenwater 2</t>
  </si>
  <si>
    <t>MIDDELBURG</t>
  </si>
  <si>
    <t>info@depagtervastgoed.nl</t>
  </si>
  <si>
    <t>Broekweg 25</t>
  </si>
  <si>
    <t>0004</t>
  </si>
  <si>
    <t>De Uitlener B.V.</t>
  </si>
  <si>
    <t>Larenseweg 30</t>
  </si>
  <si>
    <t>LOCHEM</t>
  </si>
  <si>
    <t>facturen@deuitlener.nl</t>
  </si>
  <si>
    <t>Broersveld 150A</t>
  </si>
  <si>
    <t>0155</t>
  </si>
  <si>
    <t>3131 TG</t>
  </si>
  <si>
    <t>De Witte Brigade B.V.</t>
  </si>
  <si>
    <t>Admiraliteitskade 79</t>
  </si>
  <si>
    <t>administratie@wittebrigade.nl</t>
  </si>
  <si>
    <t>Broersvest 74 c</t>
  </si>
  <si>
    <t>0156</t>
  </si>
  <si>
    <t>3191EH</t>
  </si>
  <si>
    <t>Hoogvliet</t>
  </si>
  <si>
    <t>Demeter BV</t>
  </si>
  <si>
    <t>Madeweg 27A</t>
  </si>
  <si>
    <t>Monster</t>
  </si>
  <si>
    <t>Factuur.demeter@knoppertamaryllis.nl</t>
  </si>
  <si>
    <t>Buizerdstraat 210</t>
  </si>
  <si>
    <t>0027</t>
  </si>
  <si>
    <t>3145 AD</t>
  </si>
  <si>
    <t>Maassluis</t>
  </si>
  <si>
    <t>Desa Construction NL BV</t>
  </si>
  <si>
    <t>Lange Kleiweg 26e</t>
  </si>
  <si>
    <t>Rijswijk ZH</t>
  </si>
  <si>
    <t>invoices.nl@desacons.eu</t>
  </si>
  <si>
    <t>Burchtstraat 16a</t>
  </si>
  <si>
    <t>0097</t>
  </si>
  <si>
    <t>Oostburg</t>
  </si>
  <si>
    <t>Detaconcept Services B.V.</t>
  </si>
  <si>
    <t>'s-Gravenzandseweg 4</t>
  </si>
  <si>
    <t>WATERINGEN</t>
  </si>
  <si>
    <t>paul@detaconcept.nl</t>
  </si>
  <si>
    <t>Burgemeester Cramerlaan 82</t>
  </si>
  <si>
    <t>0276</t>
  </si>
  <si>
    <t>DE LIER</t>
  </si>
  <si>
    <t>Detaconcept Uitzendgroep B.V.</t>
  </si>
  <si>
    <t>'s-Gravenzandseweg 6</t>
  </si>
  <si>
    <t>Burgemeester Crezeelaan 76</t>
  </si>
  <si>
    <t>0275</t>
  </si>
  <si>
    <t>Dhr D. Pronk en Mw y. Pronk - Dijkhuizen</t>
  </si>
  <si>
    <t>Aronskelkweg 70</t>
  </si>
  <si>
    <t>familiepronk-dijkhuizen@ziggo.nl</t>
  </si>
  <si>
    <t>Burgemeester Stulemeijerlaan 71</t>
  </si>
  <si>
    <t>0292</t>
  </si>
  <si>
    <t>Dhr I.B. Stefan</t>
  </si>
  <si>
    <t>de Dulf 69</t>
  </si>
  <si>
    <t>LEEUWARDEN</t>
  </si>
  <si>
    <t>alexandrudorin93@gmail.com</t>
  </si>
  <si>
    <t>Chopinstraat 33C</t>
  </si>
  <si>
    <t>0160</t>
  </si>
  <si>
    <t>Dhr. A. Dorin</t>
  </si>
  <si>
    <t>rasinfra@hotmail.com</t>
  </si>
  <si>
    <t>Chopinstraat 35A</t>
  </si>
  <si>
    <t>0131</t>
  </si>
  <si>
    <t>3079 KC</t>
  </si>
  <si>
    <t>Dhr. A. Ros</t>
  </si>
  <si>
    <t>Slenerbrink 96</t>
  </si>
  <si>
    <t>invoice-alex@hotmail.com</t>
  </si>
  <si>
    <t>Chopinstraat 39C</t>
  </si>
  <si>
    <t>0026</t>
  </si>
  <si>
    <t>Dhr. B. Vlastuin</t>
  </si>
  <si>
    <t>Reebaa 24</t>
  </si>
  <si>
    <t>Scherpenzeel GL</t>
  </si>
  <si>
    <t>bartvlastuin@gmail.com</t>
  </si>
  <si>
    <t>Cloosterstraat 23a</t>
  </si>
  <si>
    <t>0370</t>
  </si>
  <si>
    <t>4587CA</t>
  </si>
  <si>
    <t>Kloosterzande</t>
  </si>
  <si>
    <t>Dhr. J.L. Meerding</t>
  </si>
  <si>
    <t>Mauvezand 6</t>
  </si>
  <si>
    <t>Laren NH</t>
  </si>
  <si>
    <t>jlmeerding@gmai.com</t>
  </si>
  <si>
    <t>Coehoorn van Scheltingaweg 12</t>
  </si>
  <si>
    <t>0051</t>
  </si>
  <si>
    <t>3193XA</t>
  </si>
  <si>
    <t>Dhr. J.M.R. Boringa</t>
  </si>
  <si>
    <t>Willem Lodewijklaan 63</t>
  </si>
  <si>
    <t>rob@rohanvastgoed.nl</t>
  </si>
  <si>
    <t>Coehoorn van Scheltingaweg 66</t>
  </si>
  <si>
    <t>0052</t>
  </si>
  <si>
    <t>3132PG</t>
  </si>
  <si>
    <t>Dhr. M. Moeilijker</t>
  </si>
  <si>
    <t>Hoofdstraat 77</t>
  </si>
  <si>
    <t>Ovezande</t>
  </si>
  <si>
    <t>mmoeilijker@gmail.com</t>
  </si>
  <si>
    <t>Compierekade 15</t>
  </si>
  <si>
    <t>0345</t>
  </si>
  <si>
    <t>Alphen a/d Rijn</t>
  </si>
  <si>
    <t>Dhr. R Verspui</t>
  </si>
  <si>
    <t>Peursumseweg 119a</t>
  </si>
  <si>
    <t>Giessenburg</t>
  </si>
  <si>
    <t>rverspui@hotmail.com</t>
  </si>
  <si>
    <t>Coornhertstraat 95</t>
  </si>
  <si>
    <t>0162</t>
  </si>
  <si>
    <t>Dhr. R. Bekken</t>
  </si>
  <si>
    <t>Roemer Visscherlaan 57</t>
  </si>
  <si>
    <t>Zeist</t>
  </si>
  <si>
    <t>renzo.bekken@gmail.com</t>
  </si>
  <si>
    <t>Cubalaan 25</t>
  </si>
  <si>
    <t>0375</t>
  </si>
  <si>
    <t>2685 LA</t>
  </si>
  <si>
    <t>Poeldijk</t>
  </si>
  <si>
    <t>Dhr. R. J. Beking</t>
  </si>
  <si>
    <t>Dauwbraam 31</t>
  </si>
  <si>
    <t>KATWIJK</t>
  </si>
  <si>
    <t>rjbeking@icloud.com</t>
  </si>
  <si>
    <t>Curacaolaan 24</t>
  </si>
  <si>
    <t>0163</t>
  </si>
  <si>
    <t>Dhr. SWJ Colpaert en Mevr. J. Michielsen</t>
  </si>
  <si>
    <t>Wilhelmina Druckerstraat 68</t>
  </si>
  <si>
    <t>Coevorden</t>
  </si>
  <si>
    <t>info@jettymichielsen.com</t>
  </si>
  <si>
    <t>Curacaolaan 88</t>
  </si>
  <si>
    <t>0030</t>
  </si>
  <si>
    <t>Dhr. T. Roestenberg en Mw. Roestenberg - Hustinx</t>
  </si>
  <si>
    <t>De Haarmansenk 7</t>
  </si>
  <si>
    <t>Schalkhaar</t>
  </si>
  <si>
    <t>timoroestenberg@hotmail.com</t>
  </si>
  <si>
    <t>Curcumastraat 39</t>
  </si>
  <si>
    <t>0053</t>
  </si>
  <si>
    <t>8918JZ</t>
  </si>
  <si>
    <t>Direct Rendement B.V.</t>
  </si>
  <si>
    <t>Kortedijk 57</t>
  </si>
  <si>
    <t>info@directrendement.nl</t>
  </si>
  <si>
    <t>Datheenstraat 255</t>
  </si>
  <si>
    <t>0151</t>
  </si>
  <si>
    <t>3027AK</t>
  </si>
  <si>
    <t>Duijndam Personeelsdiensten B.V.</t>
  </si>
  <si>
    <t>Honderdland 241</t>
  </si>
  <si>
    <t>Maasdijk</t>
  </si>
  <si>
    <t>facturen@duijndamworks.nl</t>
  </si>
  <si>
    <t>De Driesprong 17</t>
  </si>
  <si>
    <t>0165</t>
  </si>
  <si>
    <t>3255AL</t>
  </si>
  <si>
    <t>Oude-Tonge</t>
  </si>
  <si>
    <t>Dumanli</t>
  </si>
  <si>
    <t>De Gasperistraat 11</t>
  </si>
  <si>
    <t>0054</t>
  </si>
  <si>
    <t>4926DC</t>
  </si>
  <si>
    <t>Lage Zwaluwe</t>
  </si>
  <si>
    <t>Dunaj Projekty SRO</t>
  </si>
  <si>
    <t>Velkoblahosvska cesta 1063/5 929 01</t>
  </si>
  <si>
    <t>Dunajska Streda</t>
  </si>
  <si>
    <t>pim.stroo@dunajprojekty.eu</t>
  </si>
  <si>
    <t>De Haak</t>
  </si>
  <si>
    <t>0290</t>
  </si>
  <si>
    <t>De Haa</t>
  </si>
  <si>
    <t>Dutch Ink</t>
  </si>
  <si>
    <t>George Stephensonweg 21m</t>
  </si>
  <si>
    <t>Info@dutchink.nl</t>
  </si>
  <si>
    <t>De Haak, Zekkenstraat 31A</t>
  </si>
  <si>
    <t>0288</t>
  </si>
  <si>
    <t>3151 XP</t>
  </si>
  <si>
    <t>Hoek van Holland</t>
  </si>
  <si>
    <t>Dutch Shipyard B.V.</t>
  </si>
  <si>
    <t>Bollenmarkt 6 C</t>
  </si>
  <si>
    <t>ZWAAGDIJK-OOST</t>
  </si>
  <si>
    <t>info@dutchshipyard.eu</t>
  </si>
  <si>
    <t>De Haak, Zekkenstraat 31B</t>
  </si>
  <si>
    <t>0289</t>
  </si>
  <si>
    <t>Dynalinx B.V.</t>
  </si>
  <si>
    <t>Pascalweg 15</t>
  </si>
  <si>
    <t>De Hooidollen 606</t>
  </si>
  <si>
    <t>0056</t>
  </si>
  <si>
    <t>5111CH</t>
  </si>
  <si>
    <t>Baarle-Nassau</t>
  </si>
  <si>
    <t>E Rebel</t>
  </si>
  <si>
    <t>erebel@ziggo.nl</t>
  </si>
  <si>
    <t>De Wingel 8B</t>
  </si>
  <si>
    <t>0371</t>
  </si>
  <si>
    <t>E.C. Koornneef</t>
  </si>
  <si>
    <t>Holwerdalaan 3</t>
  </si>
  <si>
    <t>Naaldwijk</t>
  </si>
  <si>
    <t>info@hollandhuisvesting.nl</t>
  </si>
  <si>
    <t>Deensestraat 6A2</t>
  </si>
  <si>
    <t>0153</t>
  </si>
  <si>
    <t>2543GG</t>
  </si>
  <si>
    <t>E.C. Laus (Landsteinerhof 68)</t>
  </si>
  <si>
    <t>Desiree Geeraerstraat 1b</t>
  </si>
  <si>
    <t>0023</t>
  </si>
  <si>
    <t>E.C. Laus / K. van Elk Landsteinerhof</t>
  </si>
  <si>
    <t>Landsteinerhof 68</t>
  </si>
  <si>
    <t>Hoogeveen</t>
  </si>
  <si>
    <t>eva_laus@hotmail.com</t>
  </si>
  <si>
    <t>Desiree Geeraertstraat 1 C</t>
  </si>
  <si>
    <t>0024</t>
  </si>
  <si>
    <t>EG Facility &amp; Services BV</t>
  </si>
  <si>
    <t>Velsenstraat 6A</t>
  </si>
  <si>
    <t>Werkendam</t>
  </si>
  <si>
    <t>facturen@egfs.nl</t>
  </si>
  <si>
    <t>Deugenweerd 18</t>
  </si>
  <si>
    <t>0058</t>
  </si>
  <si>
    <t>7271XT</t>
  </si>
  <si>
    <t>Borculo</t>
  </si>
  <si>
    <t>ERGO Construction doo</t>
  </si>
  <si>
    <t>Frana Supila 6</t>
  </si>
  <si>
    <t>Rijeka</t>
  </si>
  <si>
    <t>ergo.const@gmail.com</t>
  </si>
  <si>
    <t>Dieptol 63</t>
  </si>
  <si>
    <t>0059</t>
  </si>
  <si>
    <t>8332BK</t>
  </si>
  <si>
    <t xml:space="preserve">Steenwijk </t>
  </si>
  <si>
    <t>EU Facility Services</t>
  </si>
  <si>
    <t>Ambachtsstraat 13</t>
  </si>
  <si>
    <t>NIJKERK</t>
  </si>
  <si>
    <t>inkoopfacturen@houseofcovebo.nl</t>
  </si>
  <si>
    <t>Dorpsstraat 48</t>
  </si>
  <si>
    <t>0354</t>
  </si>
  <si>
    <t>EWLIT Sp.Z.O.O.SP.K</t>
  </si>
  <si>
    <t>ul. Kilinskiego 16/6</t>
  </si>
  <si>
    <t>Piaseczno</t>
  </si>
  <si>
    <t>Michal.wierzchowski@ewl.com.pl</t>
  </si>
  <si>
    <t>Dorpsstraat 73</t>
  </si>
  <si>
    <t>0066</t>
  </si>
  <si>
    <t>3133EC</t>
  </si>
  <si>
    <t>Eastmen</t>
  </si>
  <si>
    <t>Dorpstraat 48</t>
  </si>
  <si>
    <t>0203</t>
  </si>
  <si>
    <t>3114NP</t>
  </si>
  <si>
    <t>Eastmen Human Resources B.V.</t>
  </si>
  <si>
    <t>Papendorpseweg 99</t>
  </si>
  <si>
    <t>facturen@eastmen.eu</t>
  </si>
  <si>
    <t>Dwarsweg 44</t>
  </si>
  <si>
    <t>0061</t>
  </si>
  <si>
    <t>Easyjob People</t>
  </si>
  <si>
    <t>Laanweg 6</t>
  </si>
  <si>
    <t>SPIJKENISSE</t>
  </si>
  <si>
    <t>administratie@easyjobpeople.nl</t>
  </si>
  <si>
    <t>Eendrachtstraat 22</t>
  </si>
  <si>
    <t>0062</t>
  </si>
  <si>
    <t>2841 BH</t>
  </si>
  <si>
    <t>Moordrecht</t>
  </si>
  <si>
    <t>Edy Comert BV</t>
  </si>
  <si>
    <t>Bergerweg 61</t>
  </si>
  <si>
    <t>Sittard</t>
  </si>
  <si>
    <t>office@edycom.ro</t>
  </si>
  <si>
    <t>Elisadonk 220</t>
  </si>
  <si>
    <t>0136</t>
  </si>
  <si>
    <t>3086KS</t>
  </si>
  <si>
    <t>Edy Comert SRL</t>
  </si>
  <si>
    <t>Strada Rapsodiei 47</t>
  </si>
  <si>
    <t>Constanta</t>
  </si>
  <si>
    <t xml:space="preserve">Energieweg 40 </t>
  </si>
  <si>
    <t>0063</t>
  </si>
  <si>
    <t>3181HG</t>
  </si>
  <si>
    <t>Eemsdelta Housing B.V.</t>
  </si>
  <si>
    <t>Weereweg 25 A</t>
  </si>
  <si>
    <t>TJUCHEM</t>
  </si>
  <si>
    <t>facturen@eemsdelta-housing.nl</t>
  </si>
  <si>
    <t>Engelsestraat 16L1</t>
  </si>
  <si>
    <t>0168</t>
  </si>
  <si>
    <t>3131 HR</t>
  </si>
  <si>
    <t>Eigenaren van Dieptol 63</t>
  </si>
  <si>
    <t>Steenwijk</t>
  </si>
  <si>
    <t>prkapper@gmail.com,judithdijkgraaf@hotmail.com</t>
  </si>
  <si>
    <t>Engelsestraat 16L3</t>
  </si>
  <si>
    <t>0095</t>
  </si>
  <si>
    <t>3028CG</t>
  </si>
  <si>
    <t>Eizema Heerenveen Vastgoed b.v.</t>
  </si>
  <si>
    <t>Burgemeester Falkenaweg 36</t>
  </si>
  <si>
    <t>HEERENVEEN</t>
  </si>
  <si>
    <t>administratie@eizema-vastgoed.nl</t>
  </si>
  <si>
    <t>Enk 6</t>
  </si>
  <si>
    <t>0064</t>
  </si>
  <si>
    <t>7621ES</t>
  </si>
  <si>
    <t>Borne</t>
  </si>
  <si>
    <t>Employ</t>
  </si>
  <si>
    <t>Enschotsestraat 163</t>
  </si>
  <si>
    <t>0006</t>
  </si>
  <si>
    <t>7902HN</t>
  </si>
  <si>
    <t>Employ Facilitair B.V.</t>
  </si>
  <si>
    <t>Industrieweg 1</t>
  </si>
  <si>
    <t>HOOGEVEEN</t>
  </si>
  <si>
    <t>facilitair@employ.nl</t>
  </si>
  <si>
    <t>Esdoornlaan 68</t>
  </si>
  <si>
    <t>0065</t>
  </si>
  <si>
    <t>4707ER</t>
  </si>
  <si>
    <t>Roosendaal</t>
  </si>
  <si>
    <t>Estra Logistics Systems B.V.</t>
  </si>
  <si>
    <t>Zuid Hollandiaan 7</t>
  </si>
  <si>
    <t>finance@cruisr.nl</t>
  </si>
  <si>
    <t>Fabristraat 34A</t>
  </si>
  <si>
    <t>0093</t>
  </si>
  <si>
    <t>9205 CA</t>
  </si>
  <si>
    <t>Drachten</t>
  </si>
  <si>
    <t>Euromontur Asemblies SL.</t>
  </si>
  <si>
    <t>Merindad Castilla La Vieja 27</t>
  </si>
  <si>
    <t>Spanje</t>
  </si>
  <si>
    <t>ana.gomez@euromontur.net</t>
  </si>
  <si>
    <t>Fabristraat 34B</t>
  </si>
  <si>
    <t>0094</t>
  </si>
  <si>
    <t>2518 EG</t>
  </si>
  <si>
    <t>Europe-jobs B.V.</t>
  </si>
  <si>
    <t>Oude Terborgseweg 288</t>
  </si>
  <si>
    <t>info@europe-jobs.nl</t>
  </si>
  <si>
    <t>Fenacoliuslaan 56B</t>
  </si>
  <si>
    <t>0273</t>
  </si>
  <si>
    <t>European Business Brokers</t>
  </si>
  <si>
    <t>Dr. Duyvendakhof 32</t>
  </si>
  <si>
    <t>Oud Beijerland</t>
  </si>
  <si>
    <t>daniel@reppz.com</t>
  </si>
  <si>
    <t>Flankstraat 11</t>
  </si>
  <si>
    <t>0331</t>
  </si>
  <si>
    <t>4551AR</t>
  </si>
  <si>
    <t>Sas van Gent</t>
  </si>
  <si>
    <t>F. Veurink en P. Neleman</t>
  </si>
  <si>
    <t>Dorresteinseweg 18</t>
  </si>
  <si>
    <t>Frans Erensstraat 21</t>
  </si>
  <si>
    <t>0068</t>
  </si>
  <si>
    <t>FGM Solar Renewable S.R.L.</t>
  </si>
  <si>
    <t>Str. Nufarului, Nr. 28E, Et. 3</t>
  </si>
  <si>
    <t>Oradea</t>
  </si>
  <si>
    <t>edeny2002@gmail.com</t>
  </si>
  <si>
    <t>Franselaan 273B</t>
  </si>
  <si>
    <t>0019</t>
  </si>
  <si>
    <t>FISSH B.V.</t>
  </si>
  <si>
    <t>Copernicusstraat 18</t>
  </si>
  <si>
    <t>Wijchen</t>
  </si>
  <si>
    <t>administratie@fissh.nl</t>
  </si>
  <si>
    <t>Franz Liszstraat 5</t>
  </si>
  <si>
    <t>0067</t>
  </si>
  <si>
    <t>Facili Flex BV</t>
  </si>
  <si>
    <t>Legmeerdijk 313</t>
  </si>
  <si>
    <t>Aalsmeer</t>
  </si>
  <si>
    <t>invoice@ifj.nl</t>
  </si>
  <si>
    <t>G.A. Brederolaan 75B</t>
  </si>
  <si>
    <t>0017</t>
  </si>
  <si>
    <t>Fam. Derwig</t>
  </si>
  <si>
    <t>Hooizolder 188</t>
  </si>
  <si>
    <t>hans.derwig@dunlopcb.com</t>
  </si>
  <si>
    <t>Gaffelaar 3</t>
  </si>
  <si>
    <t>0069</t>
  </si>
  <si>
    <t>5014 DD</t>
  </si>
  <si>
    <t>Fareon Z Nederland</t>
  </si>
  <si>
    <t>Lange Amerikaweg 67</t>
  </si>
  <si>
    <t>Apeldoorn</t>
  </si>
  <si>
    <t>nancy@fareon.nl</t>
  </si>
  <si>
    <t>Galgeweg 48-A</t>
  </si>
  <si>
    <t>0009</t>
  </si>
  <si>
    <t>Fasttravel Taxi</t>
  </si>
  <si>
    <t>Kerkweg 9A</t>
  </si>
  <si>
    <t>Hensbroek</t>
  </si>
  <si>
    <t>iacovachem@gmail.com</t>
  </si>
  <si>
    <t>Geldersestraat 91</t>
  </si>
  <si>
    <t>0109</t>
  </si>
  <si>
    <t>1711RR</t>
  </si>
  <si>
    <t>Feel Flex B.V.</t>
  </si>
  <si>
    <t>Doornhoek 3842</t>
  </si>
  <si>
    <t>Veghel</t>
  </si>
  <si>
    <t>factuur@feelflex.nl</t>
  </si>
  <si>
    <t>Geleenstraat 1</t>
  </si>
  <si>
    <t>0070</t>
  </si>
  <si>
    <t>3181XD</t>
  </si>
  <si>
    <t>Finest Housing B.V.</t>
  </si>
  <si>
    <t>John F. Kennedylaan 246</t>
  </si>
  <si>
    <t>PANNINGEN</t>
  </si>
  <si>
    <t>backoffice@finesthousing.nl</t>
  </si>
  <si>
    <t>Gerberalaan 113</t>
  </si>
  <si>
    <t>0277</t>
  </si>
  <si>
    <t>Finishing De Luxe GmbH</t>
  </si>
  <si>
    <t>Burgermeister Schade Strasse 20</t>
  </si>
  <si>
    <t>SCHONKIRCHEN</t>
  </si>
  <si>
    <t>katja.korotchenko@finishing-deluxe.com</t>
  </si>
  <si>
    <t>Goudestein 30</t>
  </si>
  <si>
    <t>0170</t>
  </si>
  <si>
    <t>3181WT</t>
  </si>
  <si>
    <t>Fix Personeelsdiensten</t>
  </si>
  <si>
    <t>Leemidden 22</t>
  </si>
  <si>
    <t>admin@teamfix.nl</t>
  </si>
  <si>
    <t>Groenelaan 30B</t>
  </si>
  <si>
    <t>0025</t>
  </si>
  <si>
    <t>3114 CH</t>
  </si>
  <si>
    <t>Flex House Renting B.V.</t>
  </si>
  <si>
    <t>Vlierwerf 3 d</t>
  </si>
  <si>
    <t>ROOSENDAAL</t>
  </si>
  <si>
    <t>e.ozel@interimjobs.nl</t>
  </si>
  <si>
    <t>Groeneweg 127</t>
  </si>
  <si>
    <t>0172</t>
  </si>
  <si>
    <t>3082 VJ</t>
  </si>
  <si>
    <t>Flex Pons B.V.</t>
  </si>
  <si>
    <t>Boschstraat 43</t>
  </si>
  <si>
    <t>BREDA</t>
  </si>
  <si>
    <t>f.tuncer@flexpons.nl</t>
  </si>
  <si>
    <t>Groeneweg 71</t>
  </si>
  <si>
    <t>0173</t>
  </si>
  <si>
    <t>3311TK</t>
  </si>
  <si>
    <t>Dordrecht</t>
  </si>
  <si>
    <t>FlexState B.V.</t>
  </si>
  <si>
    <t>Kerkenbos 1075 W</t>
  </si>
  <si>
    <t>NIJMEGEN</t>
  </si>
  <si>
    <t>customer-success@hiway-mail.com</t>
  </si>
  <si>
    <t>Groeneweg 74</t>
  </si>
  <si>
    <t>0174</t>
  </si>
  <si>
    <t>3111PD</t>
  </si>
  <si>
    <t>Flexbo B.V.</t>
  </si>
  <si>
    <t>Posthoornstraat 11</t>
  </si>
  <si>
    <t>info@flexbo.nl</t>
  </si>
  <si>
    <t>H Deddenstraat 26</t>
  </si>
  <si>
    <t>0073</t>
  </si>
  <si>
    <t>Steggerda</t>
  </si>
  <si>
    <t>Flexcraft SSC BV</t>
  </si>
  <si>
    <t>Einsteinstraat 9 B</t>
  </si>
  <si>
    <t>Gorinchem</t>
  </si>
  <si>
    <t>huisvesting@flexcraft.eu</t>
  </si>
  <si>
    <t>H. Algraplein 25</t>
  </si>
  <si>
    <t>0071</t>
  </si>
  <si>
    <t>8802RE</t>
  </si>
  <si>
    <t>Franeker</t>
  </si>
  <si>
    <t>Flextalent4u Uitzenden B.V.</t>
  </si>
  <si>
    <t>Manmakerweg 23</t>
  </si>
  <si>
    <t>Bleskensgraaf Ca</t>
  </si>
  <si>
    <t>administratie@flextalent4u.nl</t>
  </si>
  <si>
    <t>Haagkamp 11</t>
  </si>
  <si>
    <t>0279</t>
  </si>
  <si>
    <t>Honselersdijk</t>
  </si>
  <si>
    <t>Flexvesting B.V.</t>
  </si>
  <si>
    <t>Wiekenweg 50b</t>
  </si>
  <si>
    <t>administratie@flexvesting.com</t>
  </si>
  <si>
    <t>Hagastraat 8</t>
  </si>
  <si>
    <t>0175</t>
  </si>
  <si>
    <t>Flowerhill B.V.</t>
  </si>
  <si>
    <t>Prinses Marijkestraat 36</t>
  </si>
  <si>
    <t>Andijk</t>
  </si>
  <si>
    <t>jb.heuvel@quicknet.nl</t>
  </si>
  <si>
    <t>Heemskerkstraat 19</t>
  </si>
  <si>
    <t>0072</t>
  </si>
  <si>
    <t>9866AR</t>
  </si>
  <si>
    <t>Lutjegast</t>
  </si>
  <si>
    <t>Focuzop-eu</t>
  </si>
  <si>
    <t>Amperestraat 7-14</t>
  </si>
  <si>
    <t>Harderwijk</t>
  </si>
  <si>
    <t>administratie@focuzop-eu.com</t>
  </si>
  <si>
    <t>Hendriklaan 49</t>
  </si>
  <si>
    <t>0325</t>
  </si>
  <si>
    <t>6043 BN</t>
  </si>
  <si>
    <t>Roermond</t>
  </si>
  <si>
    <t>Fryslân Homes</t>
  </si>
  <si>
    <t>Struikheide 6</t>
  </si>
  <si>
    <t>backoffice@fryslanhomes.frl</t>
  </si>
  <si>
    <t>Herautpad 22</t>
  </si>
  <si>
    <t>0176</t>
  </si>
  <si>
    <t>Furniture Lease</t>
  </si>
  <si>
    <t>Sint Walburg 20 b</t>
  </si>
  <si>
    <t>Zetten</t>
  </si>
  <si>
    <t>Herenpad 20 B</t>
  </si>
  <si>
    <t>0134</t>
  </si>
  <si>
    <t>G.D. Dijkstra</t>
  </si>
  <si>
    <t>Zuurstukken 86</t>
  </si>
  <si>
    <t>Eelde</t>
  </si>
  <si>
    <t>info@wijzerinwonen.nl</t>
  </si>
  <si>
    <t>Herenpad 20B</t>
  </si>
  <si>
    <t>0133</t>
  </si>
  <si>
    <t>3466LG</t>
  </si>
  <si>
    <t>Waarder</t>
  </si>
  <si>
    <t>G.K. Stoel</t>
  </si>
  <si>
    <t>Patrijsstraat 39</t>
  </si>
  <si>
    <t>Papendrecht</t>
  </si>
  <si>
    <t>rolfstoel@hotmail.com</t>
  </si>
  <si>
    <t>Hoefslag 8</t>
  </si>
  <si>
    <t>0107</t>
  </si>
  <si>
    <t>GAP Costruzioni S.r.l.</t>
  </si>
  <si>
    <t>Viale Italia 110</t>
  </si>
  <si>
    <t>Augusta</t>
  </si>
  <si>
    <t>invoice@gapcostruzioni.it</t>
  </si>
  <si>
    <t>Hof van Zeeland 2</t>
  </si>
  <si>
    <t>0334</t>
  </si>
  <si>
    <t>Heinkenszand</t>
  </si>
  <si>
    <t>GMC KOVI Global Metal Construction</t>
  </si>
  <si>
    <t>Maistrova ulica 16</t>
  </si>
  <si>
    <t>Kanik</t>
  </si>
  <si>
    <t>emina.dzelilovic@gmcgroup.ba</t>
  </si>
  <si>
    <t>Hoge Noordweg 27B</t>
  </si>
  <si>
    <t>0177</t>
  </si>
  <si>
    <t>2573 HG</t>
  </si>
  <si>
    <t>GOTI Verhuur B.V.</t>
  </si>
  <si>
    <t>Noorderhaven 63</t>
  </si>
  <si>
    <t>Harlingen</t>
  </si>
  <si>
    <t>info@gotiverhuur.nl</t>
  </si>
  <si>
    <t>Hoge Noordweg 28</t>
  </si>
  <si>
    <t>0178</t>
  </si>
  <si>
    <t>2573 HB</t>
  </si>
  <si>
    <t>GSI B.V.</t>
  </si>
  <si>
    <t>Koperslagersstraat 88</t>
  </si>
  <si>
    <t>Sneek</t>
  </si>
  <si>
    <t>maurice@teamwanted.nl</t>
  </si>
  <si>
    <t>Hogenbanweg 331</t>
  </si>
  <si>
    <t>0031</t>
  </si>
  <si>
    <t>3112 CK</t>
  </si>
  <si>
    <t>Gap Costruzioni Dutch Branch</t>
  </si>
  <si>
    <t>Hontenissestraat 124</t>
  </si>
  <si>
    <t>0181</t>
  </si>
  <si>
    <t>4337MA</t>
  </si>
  <si>
    <t>Middelburg</t>
  </si>
  <si>
    <t>Gastvrijaanzee.nl</t>
  </si>
  <si>
    <t>Mosselaan 53</t>
  </si>
  <si>
    <t>Egmond aan den Hoef</t>
  </si>
  <si>
    <t>rekening@getstay.nl</t>
  </si>
  <si>
    <t>Hoofdstraat 110</t>
  </si>
  <si>
    <t>0075</t>
  </si>
  <si>
    <t>4536EA</t>
  </si>
  <si>
    <t>Terneuzen</t>
  </si>
  <si>
    <t>Gemeente Waadhoeke</t>
  </si>
  <si>
    <t>Harlingerweg 18</t>
  </si>
  <si>
    <t>info@waadhoeke.nl</t>
  </si>
  <si>
    <t>Hooizolder 6</t>
  </si>
  <si>
    <t>0078</t>
  </si>
  <si>
    <t>4191BB</t>
  </si>
  <si>
    <t>Geldermalsen</t>
  </si>
  <si>
    <t>Global Accomodation Solutions (Incassobureau)</t>
  </si>
  <si>
    <t>Jan Pietersz. Coenstraat 7</t>
  </si>
  <si>
    <t>info@globalaccommodation.solutions</t>
  </si>
  <si>
    <t>Hugo de Grootstraat 72A &amp; B</t>
  </si>
  <si>
    <t>0147</t>
  </si>
  <si>
    <t>3083TJ</t>
  </si>
  <si>
    <t>Global Expatriate Services SL</t>
  </si>
  <si>
    <t>Calle Del Pintor Salvador Abril 35</t>
  </si>
  <si>
    <t>Valencia</t>
  </si>
  <si>
    <t>lodewijk@globexs.com</t>
  </si>
  <si>
    <t>Hugo de Vriesstraat 54</t>
  </si>
  <si>
    <t>0183</t>
  </si>
  <si>
    <t>3131 DK</t>
  </si>
  <si>
    <t>Gridin's Group LT</t>
  </si>
  <si>
    <t>Tomo g. 20-2</t>
  </si>
  <si>
    <t>Klaipeda</t>
  </si>
  <si>
    <t>a.kozlova@gridins.com</t>
  </si>
  <si>
    <t>Industriestraat 9</t>
  </si>
  <si>
    <t>0390</t>
  </si>
  <si>
    <t>5107NC</t>
  </si>
  <si>
    <t>Dongen</t>
  </si>
  <si>
    <t>Groene Hart Service Detachering B.V.</t>
  </si>
  <si>
    <t>Fokkerstraat 5</t>
  </si>
  <si>
    <t>REEUWIJK</t>
  </si>
  <si>
    <t>facturatie@groenehartservice.nl</t>
  </si>
  <si>
    <t>Inundatiestraat 3</t>
  </si>
  <si>
    <t>0039</t>
  </si>
  <si>
    <t>H. Molla Farajzadeh</t>
  </si>
  <si>
    <t>Juttepeer 60</t>
  </si>
  <si>
    <t>Den Hoorn ZH</t>
  </si>
  <si>
    <t>habibmf@2ops.nl</t>
  </si>
  <si>
    <t>Jacob van Lennepstraat 13 A</t>
  </si>
  <si>
    <t>0187</t>
  </si>
  <si>
    <t>H. van den Berg</t>
  </si>
  <si>
    <t>Marconistraat 12</t>
  </si>
  <si>
    <t>Huizen</t>
  </si>
  <si>
    <t>martijnbergvanden@gmail.com</t>
  </si>
  <si>
    <t>Jacob van Lennepstraat 13 b</t>
  </si>
  <si>
    <t>0188</t>
  </si>
  <si>
    <t>H.A. Samsom &amp; M.E.P. Knaap</t>
  </si>
  <si>
    <t>Klokkenberg 88</t>
  </si>
  <si>
    <t>Breda</t>
  </si>
  <si>
    <t>office@inmotionvastgoed.nl</t>
  </si>
  <si>
    <t>Jacob van Lennepstraat 34</t>
  </si>
  <si>
    <t>0189</t>
  </si>
  <si>
    <t>H.C. van Os - Remeeus</t>
  </si>
  <si>
    <t>Iependaal 19</t>
  </si>
  <si>
    <t>ROZENBURG</t>
  </si>
  <si>
    <t>marcel@cohousingnederland.nl</t>
  </si>
  <si>
    <t>Jacob van Offwegenlaan 26</t>
  </si>
  <si>
    <t>0032</t>
  </si>
  <si>
    <t>3361 GC</t>
  </si>
  <si>
    <t>H.T.C. Facility Services B.V.</t>
  </si>
  <si>
    <t>Rivium Quadrant 2</t>
  </si>
  <si>
    <t>Capelle aan den IJssel</t>
  </si>
  <si>
    <t>inkoop@htcfacilityservices.nl</t>
  </si>
  <si>
    <t>Jan van Arkelstraat 118</t>
  </si>
  <si>
    <t>0191</t>
  </si>
  <si>
    <t>HBBwonen.nu B.V.</t>
  </si>
  <si>
    <t>Stationsstraat 13</t>
  </si>
  <si>
    <t>ROSMALEN</t>
  </si>
  <si>
    <t>info@hbbwonen.nu</t>
  </si>
  <si>
    <t>Jasmijnring 22</t>
  </si>
  <si>
    <t>0087</t>
  </si>
  <si>
    <t>Zundert</t>
  </si>
  <si>
    <t>HJC Service</t>
  </si>
  <si>
    <t>Maarland Zuidzijde 27</t>
  </si>
  <si>
    <t>Brielle</t>
  </si>
  <si>
    <t>benhanan010@gmail.com</t>
  </si>
  <si>
    <t>Johan Frisostraat 36</t>
  </si>
  <si>
    <t>0146</t>
  </si>
  <si>
    <t>2921AD</t>
  </si>
  <si>
    <t>Krimpen aan den IJssel</t>
  </si>
  <si>
    <t>Habroko B.V.</t>
  </si>
  <si>
    <t>Valkenlaan 37</t>
  </si>
  <si>
    <t>fdenbroeder@upcmail.nl</t>
  </si>
  <si>
    <t>Kaapsebos 11</t>
  </si>
  <si>
    <t>0192</t>
  </si>
  <si>
    <t>Head Vastgoed B.V.</t>
  </si>
  <si>
    <t>Edisonbaan 12</t>
  </si>
  <si>
    <t>Nieuwegein</t>
  </si>
  <si>
    <t>administratie@headstaffing.nl</t>
  </si>
  <si>
    <t>Kanaal van Steenenhoek z z 10</t>
  </si>
  <si>
    <t>0082</t>
  </si>
  <si>
    <t>Heijdra Dhr. H.M.</t>
  </si>
  <si>
    <t>Lauwersmeer 22</t>
  </si>
  <si>
    <t>Barendrecht</t>
  </si>
  <si>
    <t>h.heijdra@outlook.com</t>
  </si>
  <si>
    <t>Kapershoek 11</t>
  </si>
  <si>
    <t>0193</t>
  </si>
  <si>
    <t>Hiltermann Lease B.V.</t>
  </si>
  <si>
    <t>Diamantlaan 6</t>
  </si>
  <si>
    <t>Hoofddorp</t>
  </si>
  <si>
    <t>Karel Doormanlaan 21A</t>
  </si>
  <si>
    <t>0274</t>
  </si>
  <si>
    <t>Hiway Operational Company B.V.</t>
  </si>
  <si>
    <t>lea@alphaworkforce.net</t>
  </si>
  <si>
    <t>Kastanjelaan 232</t>
  </si>
  <si>
    <t>0159</t>
  </si>
  <si>
    <t>Holland Chalet Park</t>
  </si>
  <si>
    <t>Kerkweg 9a</t>
  </si>
  <si>
    <t>Receptie@hollandchaletpark.nl</t>
  </si>
  <si>
    <t>Keesomstraat 22</t>
  </si>
  <si>
    <t>0194</t>
  </si>
  <si>
    <t>Homekeur B.V.</t>
  </si>
  <si>
    <t>Gieterijstraat 82</t>
  </si>
  <si>
    <t>Ridderkerk</t>
  </si>
  <si>
    <t>Keesomstraat 50</t>
  </si>
  <si>
    <t>0195</t>
  </si>
  <si>
    <t>Homescout21 B.V.</t>
  </si>
  <si>
    <t>Keizerstraat 28 1</t>
  </si>
  <si>
    <t>rene@homescout21.com</t>
  </si>
  <si>
    <t>Keesomstraat 54</t>
  </si>
  <si>
    <t>0196</t>
  </si>
  <si>
    <t>Horus Team Sp. Z.o.o.</t>
  </si>
  <si>
    <t>Święty Marcin 29/8</t>
  </si>
  <si>
    <t>Poznan</t>
  </si>
  <si>
    <t>administration@horusteam.net</t>
  </si>
  <si>
    <t>Kerkdreef 42</t>
  </si>
  <si>
    <t>0084</t>
  </si>
  <si>
    <t>8395PX</t>
  </si>
  <si>
    <t>Houses2Rent</t>
  </si>
  <si>
    <t>Stellingmolen 42</t>
  </si>
  <si>
    <t>info@houses2rent.nl</t>
  </si>
  <si>
    <t>Kerkweg 9A [333]</t>
  </si>
  <si>
    <t>0312</t>
  </si>
  <si>
    <t>1711 RR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</si>
  <si>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</si>
  <si>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</si>
  <si>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</si>
  <si>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</si>
  <si>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</si>
  <si>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</si>
  <si>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</si>
  <si>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Tinstraat 7b</t>
  </si>
  <si>
    <t>info@housingwell.nl</t>
  </si>
  <si>
    <t>Kerkweg 9A [347]</t>
  </si>
  <si>
    <t>0317</t>
  </si>
  <si>
    <t>Houvast Estates B.V.</t>
  </si>
  <si>
    <t>Consciencestraat 47</t>
  </si>
  <si>
    <t>Antwerpen</t>
  </si>
  <si>
    <t>hershihoffman22@gmail.com</t>
  </si>
  <si>
    <t>Kerkweg 9a [135]</t>
  </si>
  <si>
    <t>0308</t>
  </si>
  <si>
    <t>Hugo Vastgoed B.V.</t>
  </si>
  <si>
    <t>Academiesingel 37 A</t>
  </si>
  <si>
    <t>administratie@hemobeheer.nl</t>
  </si>
  <si>
    <t xml:space="preserve">Kerkweg 9a [137] </t>
  </si>
  <si>
    <t>0309</t>
  </si>
  <si>
    <t>I.I. Bhaggoe</t>
  </si>
  <si>
    <t>Jan Campertlaan 8</t>
  </si>
  <si>
    <t>Kerkweg 9a [210]</t>
  </si>
  <si>
    <t>0310</t>
  </si>
  <si>
    <t>I.T.S. SR.L. (INDUSTRIAL TECHNICAL SERVICES), BRAN</t>
  </si>
  <si>
    <t>Schepenenweg 35</t>
  </si>
  <si>
    <t>oostvoorne</t>
  </si>
  <si>
    <t>salvotringali@hotmail.it , dballotta@itsservices.it</t>
  </si>
  <si>
    <t>Kerkweg 9a [269]</t>
  </si>
  <si>
    <t>0311</t>
  </si>
  <si>
    <t>IC Idea Complex Sp. Z.o.o.</t>
  </si>
  <si>
    <t>ul. Oleska 97H/4</t>
  </si>
  <si>
    <t>Opole</t>
  </si>
  <si>
    <t>invoice@ideacomplex.eu</t>
  </si>
  <si>
    <t>Kerkweg 9a [340]</t>
  </si>
  <si>
    <t>0332</t>
  </si>
  <si>
    <t>ICS Impianti S.R.L.</t>
  </si>
  <si>
    <t>President Kennedylaan 19</t>
  </si>
  <si>
    <t>info@icsimpiantisrl.com</t>
  </si>
  <si>
    <t>Kerkweg 9a [342]</t>
  </si>
  <si>
    <t>0315</t>
  </si>
  <si>
    <t>IFC B.V.</t>
  </si>
  <si>
    <t>Fruiteniersstraat 12</t>
  </si>
  <si>
    <t>ZWIJNDRECHT</t>
  </si>
  <si>
    <t>administratie@ifc.nl</t>
  </si>
  <si>
    <t>Kerkweg 9a [346]</t>
  </si>
  <si>
    <t>0316</t>
  </si>
  <si>
    <t>IPS Industrial Plant Solutions Kft.</t>
  </si>
  <si>
    <t>Lage Mosten 49</t>
  </si>
  <si>
    <t>loretta.hanoder@ipsolutions.hu</t>
  </si>
  <si>
    <t>Kerkweg 9a [348]</t>
  </si>
  <si>
    <t>0338</t>
  </si>
  <si>
    <t>Impes Service S.p.A.</t>
  </si>
  <si>
    <t>fatture.olanda@impesservice.it, Nicola.pisani@impesservice.it</t>
  </si>
  <si>
    <t>Kerkweg 9a [349]</t>
  </si>
  <si>
    <t>0318</t>
  </si>
  <si>
    <t xml:space="preserve">Hensbroek </t>
  </si>
  <si>
    <t>Impianti Industriala S.P.A. NEDERLAND BRANCH</t>
  </si>
  <si>
    <t>Poortland 66</t>
  </si>
  <si>
    <t>vendors@sitie.it</t>
  </si>
  <si>
    <t>Kerkweg 9a [356]</t>
  </si>
  <si>
    <t>0319</t>
  </si>
  <si>
    <t>In Stijl Totaalbouw BV</t>
  </si>
  <si>
    <t>Burgemeester Freijterslaan 1</t>
  </si>
  <si>
    <t>info@instijltotaalbouw.nl</t>
  </si>
  <si>
    <t>Kerkweg 9a [357]</t>
  </si>
  <si>
    <t>0339</t>
  </si>
  <si>
    <t>InAxtion Vastgoed B.V.</t>
  </si>
  <si>
    <t>Wijnstraat 123</t>
  </si>
  <si>
    <t>Invoice.vastgoed@inaxtion.com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</si>
  <si>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</si>
  <si>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</si>
  <si>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</si>
  <si>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</si>
  <si>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</si>
  <si>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</si>
  <si>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</si>
  <si>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</si>
  <si>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5017GD</t>
  </si>
  <si>
    <t>Interwel Oost B.V.</t>
  </si>
  <si>
    <t>Rollecate 71</t>
  </si>
  <si>
    <t>NIEUWLEUSEN</t>
  </si>
  <si>
    <t>facturen@interwel.nl</t>
  </si>
  <si>
    <t>Kerstendijk 125</t>
  </si>
  <si>
    <t>0199</t>
  </si>
  <si>
    <t>3417EC</t>
  </si>
  <si>
    <t>Montfoort</t>
  </si>
  <si>
    <t>I–Housing Vastgoed Beheer B.V.</t>
  </si>
  <si>
    <t>Eusebiusbuitensingel 32-2</t>
  </si>
  <si>
    <t>Arnhem</t>
  </si>
  <si>
    <t>administratie@i-housingvastgoedbeheer.nl</t>
  </si>
  <si>
    <t>Kethelweg 1B</t>
  </si>
  <si>
    <t>0010</t>
  </si>
  <si>
    <t>J. Hermans</t>
  </si>
  <si>
    <t>Meedhuizerweg 5</t>
  </si>
  <si>
    <t>MEEDHUIZEN</t>
  </si>
  <si>
    <t>frankjolanda@online.nl</t>
  </si>
  <si>
    <t>Kethelweg 1C</t>
  </si>
  <si>
    <t>0011</t>
  </si>
  <si>
    <t>J. Hogervorst</t>
  </si>
  <si>
    <t>Molendijk 3</t>
  </si>
  <si>
    <t>Pijnacker</t>
  </si>
  <si>
    <t>jan@hoger.demon.nl</t>
  </si>
  <si>
    <t>Kethelweg 66 D</t>
  </si>
  <si>
    <t>0333</t>
  </si>
  <si>
    <t>J. J. van Veen</t>
  </si>
  <si>
    <t>jack@obend.nl</t>
  </si>
  <si>
    <t>Kethelweg 66A</t>
  </si>
  <si>
    <t>0088</t>
  </si>
  <si>
    <t>8391BJ</t>
  </si>
  <si>
    <t>Noordwolde</t>
  </si>
  <si>
    <t>J. Kuipers</t>
  </si>
  <si>
    <t>Luytkemeer 11</t>
  </si>
  <si>
    <t>kuipers.jordi@gmail.com</t>
  </si>
  <si>
    <t>Kethelweg 66B</t>
  </si>
  <si>
    <t>0122</t>
  </si>
  <si>
    <t>3135 GA</t>
  </si>
  <si>
    <t>J. Luijsterburg</t>
  </si>
  <si>
    <t>Nassaulaan 39</t>
  </si>
  <si>
    <t>Steenbergen NB</t>
  </si>
  <si>
    <t>j.luijsterburg@planet.nl</t>
  </si>
  <si>
    <t>Kethelweg 66C</t>
  </si>
  <si>
    <t>0033</t>
  </si>
  <si>
    <t>7906GB</t>
  </si>
  <si>
    <t>J. van Heeswijk</t>
  </si>
  <si>
    <t>Kortrijksesteenweg 1004</t>
  </si>
  <si>
    <t>Kethelweg 68A</t>
  </si>
  <si>
    <t>0034</t>
  </si>
  <si>
    <t>J.D. Jongsma</t>
  </si>
  <si>
    <t>Tamboerstraat 16</t>
  </si>
  <si>
    <t>LOON OP ZAND</t>
  </si>
  <si>
    <t>jand.jongsma@icloud.com</t>
  </si>
  <si>
    <t>Kierkegaardhof 54</t>
  </si>
  <si>
    <t>0085</t>
  </si>
  <si>
    <t>JC Kemp</t>
  </si>
  <si>
    <t>Spijksesteeg 1</t>
  </si>
  <si>
    <t>Spijk Gem Lingewaal</t>
  </si>
  <si>
    <t>Kimbrenoord 15</t>
  </si>
  <si>
    <t>0202</t>
  </si>
  <si>
    <t>JES Funding &amp; Beheer B.V.</t>
  </si>
  <si>
    <t>info@jesbeheer.com</t>
  </si>
  <si>
    <t>Kimbrenoord 49</t>
  </si>
  <si>
    <t>0359</t>
  </si>
  <si>
    <t>JJM Personeel B.V.</t>
  </si>
  <si>
    <t>van Leeuwenhoekweg 6</t>
  </si>
  <si>
    <t>Schijndel</t>
  </si>
  <si>
    <t>Facturen@jjmpersoneel.nl</t>
  </si>
  <si>
    <t>Kleine Beer 60</t>
  </si>
  <si>
    <t>0086</t>
  </si>
  <si>
    <t>3111 LP</t>
  </si>
  <si>
    <t>JPJ Stoel</t>
  </si>
  <si>
    <t>Celesta 16</t>
  </si>
  <si>
    <t>Kampen</t>
  </si>
  <si>
    <t>jpstoel@gmail.com</t>
  </si>
  <si>
    <t>Koningin Julianalaan 27</t>
  </si>
  <si>
    <t>0119</t>
  </si>
  <si>
    <t>JT Glazenwasserij en Schoonmaakdiensten</t>
  </si>
  <si>
    <t>Turbinestraat 8M</t>
  </si>
  <si>
    <t>Veenendaal</t>
  </si>
  <si>
    <t>info@jtschoonmaak.nl</t>
  </si>
  <si>
    <t>Koperwerf 28</t>
  </si>
  <si>
    <t>0291</t>
  </si>
  <si>
    <t>Jacco Maat</t>
  </si>
  <si>
    <t>jacco@jtvastgoed.nl</t>
  </si>
  <si>
    <t>Korte Singelstraat 21-2</t>
  </si>
  <si>
    <t>0126</t>
  </si>
  <si>
    <t>3135 GM</t>
  </si>
  <si>
    <t>Jan Luijsterburg Beheer B.V.</t>
  </si>
  <si>
    <t>STEENBERGEN</t>
  </si>
  <si>
    <t>Korte Singelstraat 21-3</t>
  </si>
  <si>
    <t>0125</t>
  </si>
  <si>
    <t>Johan van der Burg</t>
  </si>
  <si>
    <t>johanvanderburg87@gmail.com</t>
  </si>
  <si>
    <t>Krabbendijkestraat 429</t>
  </si>
  <si>
    <t>0198</t>
  </si>
  <si>
    <t>3119RG</t>
  </si>
  <si>
    <t>Jong de SAW Dhr</t>
  </si>
  <si>
    <t>De Tolve 34</t>
  </si>
  <si>
    <t>Goutum</t>
  </si>
  <si>
    <t>jcdejong@aol.nl</t>
  </si>
  <si>
    <t>Kreekrug 1</t>
  </si>
  <si>
    <t>0205</t>
  </si>
  <si>
    <t>Joost de Jong Holding B.V.</t>
  </si>
  <si>
    <t>Wetterkrite 49</t>
  </si>
  <si>
    <t>Kritostraat 54</t>
  </si>
  <si>
    <t>0389</t>
  </si>
  <si>
    <t>3076BH</t>
  </si>
  <si>
    <t>Joyce Bakker Advies</t>
  </si>
  <si>
    <t>Mient 110</t>
  </si>
  <si>
    <t>joyce@joycebakker.nl</t>
  </si>
  <si>
    <t>Kruiningenstraat 152</t>
  </si>
  <si>
    <t>0206</t>
  </si>
  <si>
    <t>3112 VL</t>
  </si>
  <si>
    <t>K-Power Netherlands Kft</t>
  </si>
  <si>
    <t>Wetering Oost 48</t>
  </si>
  <si>
    <t>Wetering</t>
  </si>
  <si>
    <t>Kruiningenstraat 185</t>
  </si>
  <si>
    <t>0360</t>
  </si>
  <si>
    <t>3086KM</t>
  </si>
  <si>
    <t>KODE Staffhousing B.V.</t>
  </si>
  <si>
    <t>Economiestraat 16</t>
  </si>
  <si>
    <t>administratie@kodere.nl</t>
  </si>
  <si>
    <t>Kruisweg 16</t>
  </si>
  <si>
    <t>0337</t>
  </si>
  <si>
    <t>2481NA</t>
  </si>
  <si>
    <t>Woubrugge</t>
  </si>
  <si>
    <t>Kadaster</t>
  </si>
  <si>
    <t>George Hintzenweg 77</t>
  </si>
  <si>
    <t>Kuiper-Rietbergpad 15</t>
  </si>
  <si>
    <t>0157</t>
  </si>
  <si>
    <t>Kajuit</t>
  </si>
  <si>
    <t>Marsdiep 16a</t>
  </si>
  <si>
    <t>Urk</t>
  </si>
  <si>
    <t>info@kajuitbv.nl</t>
  </si>
  <si>
    <t>Kwekerslaan 7</t>
  </si>
  <si>
    <t>0382</t>
  </si>
  <si>
    <t>Kapitan Workers Sp. Z.o.o.</t>
  </si>
  <si>
    <t>Szosa Chelminska 26</t>
  </si>
  <si>
    <t>Torun</t>
  </si>
  <si>
    <t>kapitanworkers@outlook.com</t>
  </si>
  <si>
    <t>Kwikstaartweg 45</t>
  </si>
  <si>
    <t>0207</t>
  </si>
  <si>
    <t>Kapitein &amp; Personeel B.V</t>
  </si>
  <si>
    <t>klaas@kapiteinpersoneel.nl</t>
  </si>
  <si>
    <t>Laan op Zuid 949</t>
  </si>
  <si>
    <t>0365</t>
  </si>
  <si>
    <t>Karadeniz Diensten</t>
  </si>
  <si>
    <t>Bomendijk 10</t>
  </si>
  <si>
    <t>info@karadenizdiensten.nl</t>
  </si>
  <si>
    <t>Laan van Adrichem 12</t>
  </si>
  <si>
    <t>0209</t>
  </si>
  <si>
    <t>Key4work B.V.</t>
  </si>
  <si>
    <t>Smaragdstraat 14</t>
  </si>
  <si>
    <t>Hengelo OV</t>
  </si>
  <si>
    <t>facturen@key4work.com</t>
  </si>
  <si>
    <t>Laan van Nieuw Blankenburg 278</t>
  </si>
  <si>
    <t>0090</t>
  </si>
  <si>
    <t>Keypro B.V.</t>
  </si>
  <si>
    <t>Suikerlaan 15</t>
  </si>
  <si>
    <t>Groningen</t>
  </si>
  <si>
    <t>Laan van Nieuw Blankenburg 328</t>
  </si>
  <si>
    <t>0185</t>
  </si>
  <si>
    <t xml:space="preserve">3181AM </t>
  </si>
  <si>
    <t xml:space="preserve">Rozenburg </t>
  </si>
  <si>
    <t>Kiose Yacht Finishing</t>
  </si>
  <si>
    <t>Kiou 6</t>
  </si>
  <si>
    <t>Keatsini  Athens</t>
  </si>
  <si>
    <t>metinkiose@yahoo.co.uk</t>
  </si>
  <si>
    <t>0091</t>
  </si>
  <si>
    <t>3086KJ</t>
  </si>
  <si>
    <t>Klaas Bos</t>
  </si>
  <si>
    <t>klaas.bos@example.com</t>
  </si>
  <si>
    <t>Lange Brink 3</t>
  </si>
  <si>
    <t>0092</t>
  </si>
  <si>
    <t>5473AT</t>
  </si>
  <si>
    <t>Heeswijk-Dinther</t>
  </si>
  <si>
    <t>Kleijweg projects</t>
  </si>
  <si>
    <t>Zwedenstraat 12</t>
  </si>
  <si>
    <t>De Lier</t>
  </si>
  <si>
    <t>Info@kleijweginvestments.nl</t>
  </si>
  <si>
    <t>Lange Broekweg 46</t>
  </si>
  <si>
    <t>0278</t>
  </si>
  <si>
    <t>Koens T. Dhr.</t>
  </si>
  <si>
    <t>Krijnenweg 3</t>
  </si>
  <si>
    <t>Bussum</t>
  </si>
  <si>
    <t>tommykoens@gmail.com</t>
  </si>
  <si>
    <t>Lange kruisweg 12</t>
  </si>
  <si>
    <t>0028</t>
  </si>
  <si>
    <t>8451BW</t>
  </si>
  <si>
    <t>Oudeschoot</t>
  </si>
  <si>
    <t>Kwekerij Stef Kleijweg</t>
  </si>
  <si>
    <t>Woudselaan 14</t>
  </si>
  <si>
    <t>Stefkleijweg@gmail.com</t>
  </si>
  <si>
    <t>Lekdijk 14</t>
  </si>
  <si>
    <t>0366</t>
  </si>
  <si>
    <t>L. Keizer</t>
  </si>
  <si>
    <t>Rettichlaan 8</t>
  </si>
  <si>
    <t>'S-GRAVENZANDE</t>
  </si>
  <si>
    <t>leendertkeizer@hotmail.com</t>
  </si>
  <si>
    <t>Liesveld 100</t>
  </si>
  <si>
    <t>0180</t>
  </si>
  <si>
    <t>L.M. Schilstra</t>
  </si>
  <si>
    <t>Adres onbekend</t>
  </si>
  <si>
    <t>Lorentzstraat 73</t>
  </si>
  <si>
    <t>0210</t>
  </si>
  <si>
    <t>3028ET</t>
  </si>
  <si>
    <t>LZ Auto- en Motorservice B.V.</t>
  </si>
  <si>
    <t>Dwarsweg 32</t>
  </si>
  <si>
    <t>lz@lzautoservice.nl</t>
  </si>
  <si>
    <t>Maasdijk 206</t>
  </si>
  <si>
    <t>0211</t>
  </si>
  <si>
    <t>9944AT</t>
  </si>
  <si>
    <t>Nieuwolda</t>
  </si>
  <si>
    <t>Labour Housing BV</t>
  </si>
  <si>
    <t>Postbus 5145</t>
  </si>
  <si>
    <t>VENRAY</t>
  </si>
  <si>
    <t>crediteuren@ottoworkforce.eu</t>
  </si>
  <si>
    <t>Maasdijk 69</t>
  </si>
  <si>
    <t>0015</t>
  </si>
  <si>
    <t>Lago Personeelshuisvesting B.V.</t>
  </si>
  <si>
    <t>Kwinkweerd 100A</t>
  </si>
  <si>
    <t>Lochem</t>
  </si>
  <si>
    <t>facturen@lagopersoneelshuisvesting.nl</t>
  </si>
  <si>
    <t>Madeweg 25C</t>
  </si>
  <si>
    <t>0282</t>
  </si>
  <si>
    <t>Langweer Vastgoed B.V.</t>
  </si>
  <si>
    <t>Buorren 15</t>
  </si>
  <si>
    <t>LANGWEER</t>
  </si>
  <si>
    <t>jan@wassenaarvastgoed.nl</t>
  </si>
  <si>
    <t>Madeweg 35A</t>
  </si>
  <si>
    <t>0283</t>
  </si>
  <si>
    <t>Leen Bakker Nederland B.V.</t>
  </si>
  <si>
    <t>Karperweg 3</t>
  </si>
  <si>
    <t>RAAMSDONKSVEER</t>
  </si>
  <si>
    <t>Maeliefstraat 46C</t>
  </si>
  <si>
    <t>0029</t>
  </si>
  <si>
    <t>3112MD</t>
  </si>
  <si>
    <t>Level 5 Assetmanagement B.V.</t>
  </si>
  <si>
    <t>Edisonweg 12</t>
  </si>
  <si>
    <t>ALBLASSERDAM</t>
  </si>
  <si>
    <t>Malzwin 34</t>
  </si>
  <si>
    <t>0182</t>
  </si>
  <si>
    <t>9675 EW</t>
  </si>
  <si>
    <t>Winschoten</t>
  </si>
  <si>
    <t>Lievaart B.V.</t>
  </si>
  <si>
    <t>vl-beheer@outlook.com</t>
  </si>
  <si>
    <t>Marathonlaan 26</t>
  </si>
  <si>
    <t>0118</t>
  </si>
  <si>
    <t>Light Personeelsdiensten</t>
  </si>
  <si>
    <t>Markt 5</t>
  </si>
  <si>
    <t>0057</t>
  </si>
  <si>
    <t>Light Personeelsdiensten BV</t>
  </si>
  <si>
    <t>Selma Lagerlöfweg 63</t>
  </si>
  <si>
    <t>facturen@lightpersoneelsdiensten.nl</t>
  </si>
  <si>
    <t>Marnixstraat 32</t>
  </si>
  <si>
    <t>0323</t>
  </si>
  <si>
    <t>Lilit Home Makelaardij</t>
  </si>
  <si>
    <t>Strevelsweg 72A-74A</t>
  </si>
  <si>
    <t>info@lilithome.nl</t>
  </si>
  <si>
    <t>Mathenesserdijk 261A2</t>
  </si>
  <si>
    <t>0184</t>
  </si>
  <si>
    <t>5121CC</t>
  </si>
  <si>
    <t>Rijen</t>
  </si>
  <si>
    <t>Lion Trading</t>
  </si>
  <si>
    <t>Tonneboerstraat 33</t>
  </si>
  <si>
    <t>ROCKANJE</t>
  </si>
  <si>
    <t>i.asadi@liontrading.nl</t>
  </si>
  <si>
    <t>Meester G. Groen van Prinsterlaan 313</t>
  </si>
  <si>
    <t>0018</t>
  </si>
  <si>
    <t>LogIQ Barendrecht B.V.</t>
  </si>
  <si>
    <t>Ebweg 12</t>
  </si>
  <si>
    <t>facturen0180@logiq.nl</t>
  </si>
  <si>
    <t>Melis Stokezijde 94</t>
  </si>
  <si>
    <t>0098</t>
  </si>
  <si>
    <t>4881HT</t>
  </si>
  <si>
    <t>Looije Facilities B.V.</t>
  </si>
  <si>
    <t>Verburghlaan 24 a</t>
  </si>
  <si>
    <t>Factuur@nwg.nl</t>
  </si>
  <si>
    <t>Mendelsohnplein 30B</t>
  </si>
  <si>
    <t>0214</t>
  </si>
  <si>
    <t>4872 PB</t>
  </si>
  <si>
    <t>Etten-Leur</t>
  </si>
  <si>
    <t>M van den Berg e/o H van den Berg</t>
  </si>
  <si>
    <t>Mendelssohnplein 10C</t>
  </si>
  <si>
    <t>0215</t>
  </si>
  <si>
    <t>5014 GG</t>
  </si>
  <si>
    <t>M. Poel</t>
  </si>
  <si>
    <t>Esdoornlaan 64</t>
  </si>
  <si>
    <t>monique_pruijsen@hotmail.com</t>
  </si>
  <si>
    <t>Mendelssohnplein 46a</t>
  </si>
  <si>
    <t>0216</t>
  </si>
  <si>
    <t>3371EM</t>
  </si>
  <si>
    <t>Hardinxveld - Giessendam</t>
  </si>
  <si>
    <t>M.A. Pronk</t>
  </si>
  <si>
    <t>Oosteinde 102</t>
  </si>
  <si>
    <t>BERKHOUT</t>
  </si>
  <si>
    <t>mp64@hotmail.com</t>
  </si>
  <si>
    <t>Messchaertplein 39</t>
  </si>
  <si>
    <t>0035</t>
  </si>
  <si>
    <t>3181GA</t>
  </si>
  <si>
    <t>M.C. Claassen</t>
  </si>
  <si>
    <t>Camino Viejo de Valencia 8 1e izq</t>
  </si>
  <si>
    <t>mcc.2006@hotmail.com</t>
  </si>
  <si>
    <t>Messchaertplein 40</t>
  </si>
  <si>
    <t>0036</t>
  </si>
  <si>
    <t>2562AV</t>
  </si>
  <si>
    <t xml:space="preserve">Den Haag </t>
  </si>
  <si>
    <t>M.J. van Os</t>
  </si>
  <si>
    <t>Burg Letteweg 31</t>
  </si>
  <si>
    <t>marcelvanos0@gmail.com</t>
  </si>
  <si>
    <t>Middelrode 8</t>
  </si>
  <si>
    <t>0217</t>
  </si>
  <si>
    <t>M@tchm@kers International B.V.</t>
  </si>
  <si>
    <t>Wichard van Pontlaan 86</t>
  </si>
  <si>
    <t>ZALTBOMMEL</t>
  </si>
  <si>
    <t>hello@matchmakers.nu</t>
  </si>
  <si>
    <t>Middenbaan Noord 18-28</t>
  </si>
  <si>
    <t>0251</t>
  </si>
  <si>
    <t>8332 AH</t>
  </si>
  <si>
    <t>MB Kewal</t>
  </si>
  <si>
    <t>Sweelinckplein 15</t>
  </si>
  <si>
    <t>mireldak@hotmail.com</t>
  </si>
  <si>
    <t>Middenbaan Noord 18B</t>
  </si>
  <si>
    <t>0252</t>
  </si>
  <si>
    <t>3117 AW</t>
  </si>
  <si>
    <t>MBS Services B.V.</t>
  </si>
  <si>
    <t>Dwarsweg 34</t>
  </si>
  <si>
    <t>info@mbs-services.nl</t>
  </si>
  <si>
    <t>Middenbaan Noord 18C</t>
  </si>
  <si>
    <t>0253</t>
  </si>
  <si>
    <t>MC Mostert prive</t>
  </si>
  <si>
    <t>arie@tradiro.nl</t>
  </si>
  <si>
    <t>Middenbaan Noord 20A</t>
  </si>
  <si>
    <t>0254</t>
  </si>
  <si>
    <t>4204EW</t>
  </si>
  <si>
    <t>MDI Techniek B.V.</t>
  </si>
  <si>
    <t>Parallelweg 31</t>
  </si>
  <si>
    <t>Neede</t>
  </si>
  <si>
    <t>wendy@mditechniek.nl</t>
  </si>
  <si>
    <t>Middenbaan Noord 20B</t>
  </si>
  <si>
    <t>0255</t>
  </si>
  <si>
    <t>3421 AJ</t>
  </si>
  <si>
    <t>Oudewater</t>
  </si>
  <si>
    <t>MK Contracting BV</t>
  </si>
  <si>
    <t>Van Gijnstraat 19</t>
  </si>
  <si>
    <t>info@mkcontracting.nl</t>
  </si>
  <si>
    <t>Middenbaan Noord 20C</t>
  </si>
  <si>
    <t>0256</t>
  </si>
  <si>
    <t>8212 CD</t>
  </si>
  <si>
    <t>Lelystad</t>
  </si>
  <si>
    <t>MNA Proud Facilities B.V.</t>
  </si>
  <si>
    <t>Tomatenlaan 29</t>
  </si>
  <si>
    <t>Recep@prokonak.nl</t>
  </si>
  <si>
    <t>Middenbaan Noord 22B</t>
  </si>
  <si>
    <t>0258</t>
  </si>
  <si>
    <t>5038PB</t>
  </si>
  <si>
    <t>MPC Energy B.V.</t>
  </si>
  <si>
    <t>Franse Akker 8</t>
  </si>
  <si>
    <t>randolf@hollandhousing.work</t>
  </si>
  <si>
    <t>Middenbaan Noord 22C</t>
  </si>
  <si>
    <t>0259</t>
  </si>
  <si>
    <t>7741 RM</t>
  </si>
  <si>
    <t>Maatschap J.W. Meershoek &amp; W.M. Meershoek</t>
  </si>
  <si>
    <t>Grootzand 11</t>
  </si>
  <si>
    <t>HOEK VAN HOLLAND</t>
  </si>
  <si>
    <t>j.meershoek1@chello.nl</t>
  </si>
  <si>
    <t>Middenbaan Noord 22a</t>
  </si>
  <si>
    <t>0257</t>
  </si>
  <si>
    <t>3181XK</t>
  </si>
  <si>
    <t>Maatschap Van Driel - Vd Vlist</t>
  </si>
  <si>
    <t>Hekendorpse Buurt 24</t>
  </si>
  <si>
    <t>HEKENDORP</t>
  </si>
  <si>
    <t>drielvlist@gmail.com</t>
  </si>
  <si>
    <t>Miltonstraat 55</t>
  </si>
  <si>
    <t>0219</t>
  </si>
  <si>
    <t>3117BK</t>
  </si>
  <si>
    <t>Marco is Vastgoed B.V.</t>
  </si>
  <si>
    <t>Lombardkade 29 C</t>
  </si>
  <si>
    <t>marco@dewitteaap.nl</t>
  </si>
  <si>
    <t>Miltonstraat 85</t>
  </si>
  <si>
    <t>0220</t>
  </si>
  <si>
    <t>3085EM</t>
  </si>
  <si>
    <t>Marco van Beek B.V.</t>
  </si>
  <si>
    <t>Ruxveenseweg 6</t>
  </si>
  <si>
    <t>STEENWIJK</t>
  </si>
  <si>
    <t>Molendijk 4</t>
  </si>
  <si>
    <t>0076</t>
  </si>
  <si>
    <t>3141 CD</t>
  </si>
  <si>
    <t>Maria</t>
  </si>
  <si>
    <t>Sparrendreef 15</t>
  </si>
  <si>
    <t>calinmariana@rambler.ru</t>
  </si>
  <si>
    <t>Molenstraat 10</t>
  </si>
  <si>
    <t>0221</t>
  </si>
  <si>
    <t>4231ZZ</t>
  </si>
  <si>
    <t>Meerkerk</t>
  </si>
  <si>
    <t>Marseille Bax Van Maanen Rotterdamse account.</t>
  </si>
  <si>
    <t>Molenweg 11-13</t>
  </si>
  <si>
    <t>Molenstraat 23</t>
  </si>
  <si>
    <t>0222</t>
  </si>
  <si>
    <t>Mavi Vastgoed</t>
  </si>
  <si>
    <t>Havenstraat 20</t>
  </si>
  <si>
    <t>invoice@mavivastgoed.nl</t>
  </si>
  <si>
    <t>Molenweg 135</t>
  </si>
  <si>
    <t>0100</t>
  </si>
  <si>
    <t>4202LS</t>
  </si>
  <si>
    <t>Maytree Invest</t>
  </si>
  <si>
    <t>leon@maytreeme.nl</t>
  </si>
  <si>
    <t>Molenweg 3A</t>
  </si>
  <si>
    <t>0284</t>
  </si>
  <si>
    <t>Mediterranean Careers Netherlands B.V.</t>
  </si>
  <si>
    <t>Bredaseweg 185</t>
  </si>
  <si>
    <t>finance@mcareers.eu</t>
  </si>
  <si>
    <t>Molenweg 3B</t>
  </si>
  <si>
    <t>0335</t>
  </si>
  <si>
    <t>Meerdervoort Queda Real B.V.</t>
  </si>
  <si>
    <t>Kranenburgweg 131</t>
  </si>
  <si>
    <t>chris@L-5.nl</t>
  </si>
  <si>
    <t>Monseigneur W.M. Bekkerslaan 34</t>
  </si>
  <si>
    <t>0074</t>
  </si>
  <si>
    <t>Milieu Service Brabant</t>
  </si>
  <si>
    <t>Schouwrooij 8</t>
  </si>
  <si>
    <t>Boxtel</t>
  </si>
  <si>
    <t>Monsterseweg 26A</t>
  </si>
  <si>
    <t>0358</t>
  </si>
  <si>
    <t>S-GRAVENZANDE</t>
  </si>
  <si>
    <t>Mooswijk T.R. &amp; Plugers R.</t>
  </si>
  <si>
    <t>Fliere 8</t>
  </si>
  <si>
    <t>Gemert</t>
  </si>
  <si>
    <t>tvandemoosdijk@gmail.com</t>
  </si>
  <si>
    <t>Moureauveld 8</t>
  </si>
  <si>
    <t>0101</t>
  </si>
  <si>
    <t>4621HM</t>
  </si>
  <si>
    <t>Bergen op Zoom</t>
  </si>
  <si>
    <t>Multiservizi Romania SRL</t>
  </si>
  <si>
    <t>Sector 1 str academiei nr 35-37 scb et2</t>
  </si>
  <si>
    <t>Bucuresti</t>
  </si>
  <si>
    <t>amministrazionepythagoras@gmail.com</t>
  </si>
  <si>
    <t>Mr. L.A. Kesperweg 31A</t>
  </si>
  <si>
    <t>0208</t>
  </si>
  <si>
    <t>Multiserwis SP z o.o.</t>
  </si>
  <si>
    <t>ul. Prudnicka 40</t>
  </si>
  <si>
    <t>Krapkowise</t>
  </si>
  <si>
    <t>karol.pastucha@bilfinger.com</t>
  </si>
  <si>
    <t>Mr. Troelstrastraat 11</t>
  </si>
  <si>
    <t>0213</t>
  </si>
  <si>
    <t>3073HS</t>
  </si>
  <si>
    <t>MvB Services</t>
  </si>
  <si>
    <t>Windgatseweg 2</t>
  </si>
  <si>
    <t>driver@meindertvanbuuren.com</t>
  </si>
  <si>
    <t>Mr. Troelstrastraat 37</t>
  </si>
  <si>
    <t>0020</t>
  </si>
  <si>
    <t>Mw. M. Hyllested Poulsen en Dhr. S. Crull</t>
  </si>
  <si>
    <t>Ina Boudier-Bakkerhof 18</t>
  </si>
  <si>
    <t>maria-sander@outlook.com</t>
  </si>
  <si>
    <t>Narcissenstraat 23</t>
  </si>
  <si>
    <t>0103</t>
  </si>
  <si>
    <t>N2people B.V.</t>
  </si>
  <si>
    <t>Mandenmakerstraat 11</t>
  </si>
  <si>
    <t>Uden</t>
  </si>
  <si>
    <t>invoice@n2people.nl</t>
  </si>
  <si>
    <t>Narcissenstraat 37</t>
  </si>
  <si>
    <t>0104</t>
  </si>
  <si>
    <t>NL Realty B.V.</t>
  </si>
  <si>
    <t>Honderdland 1</t>
  </si>
  <si>
    <t>MAASDIJK</t>
  </si>
  <si>
    <t>administratie@nl-jobs.com</t>
  </si>
  <si>
    <t>Narcissenstraat 9</t>
  </si>
  <si>
    <t>0102</t>
  </si>
  <si>
    <t>4571GJ</t>
  </si>
  <si>
    <t>Axel</t>
  </si>
  <si>
    <t>Nerom Flex B.V.</t>
  </si>
  <si>
    <t>Bouwkamp 9</t>
  </si>
  <si>
    <t>NIEUWEHORNE</t>
  </si>
  <si>
    <t>administratie@nerom-bv.nl</t>
  </si>
  <si>
    <t>Nicolaas Beetsstraat 29</t>
  </si>
  <si>
    <t>0224</t>
  </si>
  <si>
    <t>Nerom Industrial Flex B.V.</t>
  </si>
  <si>
    <t>info@nerom-industrial.nl</t>
  </si>
  <si>
    <t>Nieuwe Zeedijk 1K</t>
  </si>
  <si>
    <t>0108</t>
  </si>
  <si>
    <t>O.J.P Soc Construções</t>
  </si>
  <si>
    <t>Rua Quinta da Tapada 20 R C</t>
  </si>
  <si>
    <t>romeu.ferreira@ojp.pt</t>
  </si>
  <si>
    <t>Nieuwenhoornstraat 46b</t>
  </si>
  <si>
    <t>0046</t>
  </si>
  <si>
    <t>3131 BD</t>
  </si>
  <si>
    <t>O.P.H. Verhuur B.V. / Eigenaar.nl</t>
  </si>
  <si>
    <t>Willemskade 3</t>
  </si>
  <si>
    <t>info@eigenaar.nl</t>
  </si>
  <si>
    <t>Nieuwkerkstraat 78</t>
  </si>
  <si>
    <t>0166</t>
  </si>
  <si>
    <t>3181AW</t>
  </si>
  <si>
    <t>O.Vasiutina</t>
  </si>
  <si>
    <t>Molenstraat 16</t>
  </si>
  <si>
    <t>Waalre</t>
  </si>
  <si>
    <t>olga.vasiutina@asml.com</t>
  </si>
  <si>
    <t>Noordmolenstraat 36a</t>
  </si>
  <si>
    <t>0328</t>
  </si>
  <si>
    <t>OGSS BV</t>
  </si>
  <si>
    <t>Hoofdstraat 127A</t>
  </si>
  <si>
    <t>administratie@ooijkaas.nl</t>
  </si>
  <si>
    <t>Noordmolenstraat 36b</t>
  </si>
  <si>
    <t>0329</t>
  </si>
  <si>
    <t>OJP B.V.</t>
  </si>
  <si>
    <t>Marten Meesweg 25G</t>
  </si>
  <si>
    <t>rita.guimaraes@ojp.pt</t>
  </si>
  <si>
    <t>Noordmolenstraat 36c</t>
  </si>
  <si>
    <t>0330</t>
  </si>
  <si>
    <t>Odido Netherlands</t>
  </si>
  <si>
    <t>Waldorpstraat 60</t>
  </si>
  <si>
    <t>Nunspeetlaan 14</t>
  </si>
  <si>
    <t>0001</t>
  </si>
  <si>
    <t>3134 LL</t>
  </si>
  <si>
    <t>Oostkracht Bemiddeling B.V.</t>
  </si>
  <si>
    <t>Zeppelinstraat 21</t>
  </si>
  <si>
    <t>Berkel en Rodenrijs</t>
  </si>
  <si>
    <t>info@ok-groep.nl</t>
  </si>
  <si>
    <t>Nunspeetlaan 53</t>
  </si>
  <si>
    <t>0041</t>
  </si>
  <si>
    <t>3225XB</t>
  </si>
  <si>
    <t>Optima Uitzendbureau B.V.</t>
  </si>
  <si>
    <t>Kade 40</t>
  </si>
  <si>
    <t>Hardinxveld Giessendam</t>
  </si>
  <si>
    <t>Financieel@optimauitzendburo.nl</t>
  </si>
  <si>
    <t>Ofwegen 1A</t>
  </si>
  <si>
    <t>0336</t>
  </si>
  <si>
    <t>2481KA</t>
  </si>
  <si>
    <t>Orange Investments Group</t>
  </si>
  <si>
    <t>Oosterstraat 89</t>
  </si>
  <si>
    <t>0111</t>
  </si>
  <si>
    <t>Orange Investments Group B.V.</t>
  </si>
  <si>
    <t>Leehove 80</t>
  </si>
  <si>
    <t>crediteuren@peopledirekt.nl</t>
  </si>
  <si>
    <t>Oostlaan 3</t>
  </si>
  <si>
    <t>0227</t>
  </si>
  <si>
    <t>3205CN</t>
  </si>
  <si>
    <t>Oranjegroep Vastgoed B.V.</t>
  </si>
  <si>
    <t>van Vollenhovenstraat 10</t>
  </si>
  <si>
    <t>inkoopfacturen@oranjegroepvastgoed.nl</t>
  </si>
  <si>
    <t>Opaal 9</t>
  </si>
  <si>
    <t>0110</t>
  </si>
  <si>
    <t>Oxrooms</t>
  </si>
  <si>
    <t>Antwerpsestraat 62</t>
  </si>
  <si>
    <t>PUTTE</t>
  </si>
  <si>
    <t>info@ox-rooms.nl</t>
  </si>
  <si>
    <t>Oranjestraat 63</t>
  </si>
  <si>
    <t>0369</t>
  </si>
  <si>
    <t>3111AN</t>
  </si>
  <si>
    <t>P. Gryspeerdt</t>
  </si>
  <si>
    <t>Klimopstraat 1</t>
  </si>
  <si>
    <t>Oudewerfslaan 84</t>
  </si>
  <si>
    <t>0112</t>
  </si>
  <si>
    <t>P. Nederstigt</t>
  </si>
  <si>
    <t>Frans Halsstraat 67</t>
  </si>
  <si>
    <t>Lisse</t>
  </si>
  <si>
    <t>p.nederstigt@casema.nl</t>
  </si>
  <si>
    <t>P. F. Catsstraat 8</t>
  </si>
  <si>
    <t>0218</t>
  </si>
  <si>
    <t>4624DM</t>
  </si>
  <si>
    <t>P. Ter Haar-Ros</t>
  </si>
  <si>
    <t>Utrechtseweg 242</t>
  </si>
  <si>
    <t>prkapper@gmail.com</t>
  </si>
  <si>
    <t>Parallelweg 110A</t>
  </si>
  <si>
    <t>0042</t>
  </si>
  <si>
    <t>7601BE</t>
  </si>
  <si>
    <t>Almelo</t>
  </si>
  <si>
    <t>PMM Workforce Management Ltd</t>
  </si>
  <si>
    <t>Triq ix-Xatt 154, Level 2, Office A</t>
  </si>
  <si>
    <t>Gzira</t>
  </si>
  <si>
    <t>d.soare@pmm-group.eu , accounting@pmm-group.eu</t>
  </si>
  <si>
    <t>Parallelweg 114c</t>
  </si>
  <si>
    <t>0380</t>
  </si>
  <si>
    <t>PRP Solutions Flex Sp. Z.O.O</t>
  </si>
  <si>
    <t>Dobrzynska 36</t>
  </si>
  <si>
    <t>Plock</t>
  </si>
  <si>
    <t>costs@prpsolutions.eu</t>
  </si>
  <si>
    <t>Parallelweg 122A</t>
  </si>
  <si>
    <t>0228</t>
  </si>
  <si>
    <t>Parkwonen</t>
  </si>
  <si>
    <t>Kruisplein 488A</t>
  </si>
  <si>
    <t>info@parkwonen.nl</t>
  </si>
  <si>
    <t>Parallelweg 134b</t>
  </si>
  <si>
    <t>0381</t>
  </si>
  <si>
    <t>People21 Services BV</t>
  </si>
  <si>
    <t>Westfrankelandsedijk 7</t>
  </si>
  <si>
    <t>administratie@people21.eu</t>
  </si>
  <si>
    <t>Parallelweg 98B</t>
  </si>
  <si>
    <t>0229</t>
  </si>
  <si>
    <t>9205AN</t>
  </si>
  <si>
    <t xml:space="preserve">Drachten </t>
  </si>
  <si>
    <t>PersoneelDirectFriesland</t>
  </si>
  <si>
    <t>Zenegroen 129</t>
  </si>
  <si>
    <t>info@personeeldirectfriesland.nl</t>
  </si>
  <si>
    <t>Pasteursingel 61B</t>
  </si>
  <si>
    <t>0230</t>
  </si>
  <si>
    <t>3146 BX</t>
  </si>
  <si>
    <t>Plural Albufeira S.R.L.</t>
  </si>
  <si>
    <t>Strada SLT. POPA, NR 7, Bloc 17, Scara 2, Etaj 4, Ap. 38</t>
  </si>
  <si>
    <t>Bucuresti Sectorul 5</t>
  </si>
  <si>
    <t>office@plural.ro</t>
  </si>
  <si>
    <t>Pastoor Gilisstraat 81A</t>
  </si>
  <si>
    <t>0344</t>
  </si>
  <si>
    <t>Pol Flex B.V.</t>
  </si>
  <si>
    <t>Ouddeelstraat 7 a</t>
  </si>
  <si>
    <t>administratie@polflexbv.nl</t>
  </si>
  <si>
    <t>Pastoriedijk 89</t>
  </si>
  <si>
    <t>0083</t>
  </si>
  <si>
    <t>Profectus Staffing Solutions</t>
  </si>
  <si>
    <t>Gastelseweg 144 F</t>
  </si>
  <si>
    <t>u.tevkir@carriere.com</t>
  </si>
  <si>
    <t>0081</t>
  </si>
  <si>
    <t>Quality Home Rentals</t>
  </si>
  <si>
    <t>Vlinderslag 4</t>
  </si>
  <si>
    <t>info@qualityhomerentals.nl</t>
  </si>
  <si>
    <t>Persoonsdam 176</t>
  </si>
  <si>
    <t>0260</t>
  </si>
  <si>
    <t>4696 BS</t>
  </si>
  <si>
    <t>Stavenisse</t>
  </si>
  <si>
    <t>R&amp;E Services</t>
  </si>
  <si>
    <t>Rhijnspoor 225 B</t>
  </si>
  <si>
    <t>CAPELLE AAN DEN IJSSEL</t>
  </si>
  <si>
    <t>administratie@rebv.nl</t>
  </si>
  <si>
    <t>Persoonsdam 177</t>
  </si>
  <si>
    <t>0261</t>
  </si>
  <si>
    <t>8801EL</t>
  </si>
  <si>
    <t>R. Bassil</t>
  </si>
  <si>
    <t>Professor Poelslaan 58A</t>
  </si>
  <si>
    <t>rogerbassil@outlook.com</t>
  </si>
  <si>
    <t>Persoonsdam 178</t>
  </si>
  <si>
    <t>0262</t>
  </si>
  <si>
    <t>RNDV Industries</t>
  </si>
  <si>
    <t>Taikos pr. 52C</t>
  </si>
  <si>
    <t>Klipeda</t>
  </si>
  <si>
    <t>laura.brackiene@rndv.eu</t>
  </si>
  <si>
    <t>Persoonsdam 179</t>
  </si>
  <si>
    <t>0263</t>
  </si>
  <si>
    <t>4703TA</t>
  </si>
  <si>
    <t>RNVD Industries</t>
  </si>
  <si>
    <t>Persoonsdam 180</t>
  </si>
  <si>
    <t>0264</t>
  </si>
  <si>
    <t>3082PH</t>
  </si>
  <si>
    <t>Randstad Wonen</t>
  </si>
  <si>
    <t>info@randstadwonen.nl</t>
  </si>
  <si>
    <t>Persoonsdam 181</t>
  </si>
  <si>
    <t>0265</t>
  </si>
  <si>
    <t>Ras R.A. Dhr.</t>
  </si>
  <si>
    <t>ron.ras1999@outlook.com</t>
  </si>
  <si>
    <t>Persoonsdam 182</t>
  </si>
  <si>
    <t>0266</t>
  </si>
  <si>
    <t>Reham Verhuur B.V.</t>
  </si>
  <si>
    <t>Terneuzensestraat 10</t>
  </si>
  <si>
    <t>Zaamslag</t>
  </si>
  <si>
    <t>Persoonsdam 194</t>
  </si>
  <si>
    <t>0267</t>
  </si>
  <si>
    <t>Resource One B.V.</t>
  </si>
  <si>
    <t>Nobelstraat 76</t>
  </si>
  <si>
    <t>BRIELLE</t>
  </si>
  <si>
    <t>Persoonsdam 196</t>
  </si>
  <si>
    <t>0349</t>
  </si>
  <si>
    <t>Robert L.P. de Jonge</t>
  </si>
  <si>
    <t>Noolseweg 23</t>
  </si>
  <si>
    <t>Blaricum</t>
  </si>
  <si>
    <t>robertdejonge@ziggo.nl</t>
  </si>
  <si>
    <t>Persoonsdam 198</t>
  </si>
  <si>
    <t>0268</t>
  </si>
  <si>
    <t>Royal DS Personeel-service</t>
  </si>
  <si>
    <t>Ambachtsweg 57</t>
  </si>
  <si>
    <t>m.langeveld@royalds.nl</t>
  </si>
  <si>
    <t>Peursumseweg 119</t>
  </si>
  <si>
    <t>0113</t>
  </si>
  <si>
    <t>Ruva Vastgoed B.V.</t>
  </si>
  <si>
    <t>Burgemeester van Campenhoutstraat 2</t>
  </si>
  <si>
    <t>MADE</t>
  </si>
  <si>
    <t>beheer@ruvavastgoed.nl</t>
  </si>
  <si>
    <t>Piersonstraat 8</t>
  </si>
  <si>
    <t>0114</t>
  </si>
  <si>
    <t>RyanRent B.V.</t>
  </si>
  <si>
    <t>Energieweg 22 c</t>
  </si>
  <si>
    <t>facturen@ryanrent.nl</t>
  </si>
  <si>
    <t>Plaats 10</t>
  </si>
  <si>
    <t>0120</t>
  </si>
  <si>
    <t>3086HL</t>
  </si>
  <si>
    <t>S Kleijweg</t>
  </si>
  <si>
    <t>Platostraat 80</t>
  </si>
  <si>
    <t>0231</t>
  </si>
  <si>
    <t>3082WP</t>
  </si>
  <si>
    <t>S. Bakker OPH Verhuur</t>
  </si>
  <si>
    <t>Hoofdweg 7</t>
  </si>
  <si>
    <t>Hitzum</t>
  </si>
  <si>
    <t>Pleinweg 101 B</t>
  </si>
  <si>
    <t>0045</t>
  </si>
  <si>
    <t>4501 BJ</t>
  </si>
  <si>
    <t>S. Dolstra</t>
  </si>
  <si>
    <t>Molenweg 10 a</t>
  </si>
  <si>
    <t>KRUISLAND</t>
  </si>
  <si>
    <t>dolstra@yahoo.com</t>
  </si>
  <si>
    <t>Pleinweg 101A</t>
  </si>
  <si>
    <t>0044</t>
  </si>
  <si>
    <t>S. Kleiren</t>
  </si>
  <si>
    <t>sabine.kleiren@gmail.com</t>
  </si>
  <si>
    <t>Ploegstraat 2A</t>
  </si>
  <si>
    <t>0079</t>
  </si>
  <si>
    <t xml:space="preserve">6133XK </t>
  </si>
  <si>
    <t>S. Marinus (zie 50200)</t>
  </si>
  <si>
    <t>'t Deel 29</t>
  </si>
  <si>
    <t>Poeldijkseweg 27</t>
  </si>
  <si>
    <t>0285</t>
  </si>
  <si>
    <t>S. Meijer</t>
  </si>
  <si>
    <t>Zevenhuizen 2</t>
  </si>
  <si>
    <t>FRANEKER</t>
  </si>
  <si>
    <t>siebmeijer@msn.com</t>
  </si>
  <si>
    <t>Poeldijkseweg 29</t>
  </si>
  <si>
    <t>0378</t>
  </si>
  <si>
    <t>SHGJ Ribbink</t>
  </si>
  <si>
    <t>Gagelstraat 109</t>
  </si>
  <si>
    <t>Eindhoven</t>
  </si>
  <si>
    <t>SHGJ.Ribbink@gmail.com</t>
  </si>
  <si>
    <t>Poolsestraat 29a</t>
  </si>
  <si>
    <t>0386</t>
  </si>
  <si>
    <t>3028EN</t>
  </si>
  <si>
    <t>SS Kara Yacht Painters LLP</t>
  </si>
  <si>
    <t>Omonias 77</t>
  </si>
  <si>
    <t>Kavala</t>
  </si>
  <si>
    <t>sskarayaght23@gmail.com</t>
  </si>
  <si>
    <t>Poppestraat 59</t>
  </si>
  <si>
    <t>0115</t>
  </si>
  <si>
    <t>STANA d.o.o.</t>
  </si>
  <si>
    <t>Razlagova 11</t>
  </si>
  <si>
    <t>Maribor</t>
  </si>
  <si>
    <t>stana2@telemach.net</t>
  </si>
  <si>
    <t>Prins Bernhardstraat 40</t>
  </si>
  <si>
    <t>0116</t>
  </si>
  <si>
    <t>Sagius Uitzenders B.V.</t>
  </si>
  <si>
    <t>Bleiswijkseweg 43</t>
  </si>
  <si>
    <t>ZOETERMEER</t>
  </si>
  <si>
    <t>facturen@sagiusuitzenders.nl</t>
  </si>
  <si>
    <t>Prins Willemweg 2</t>
  </si>
  <si>
    <t>0287</t>
  </si>
  <si>
    <t>Showtuin Nederland B.V.</t>
  </si>
  <si>
    <t>Pollaan 50</t>
  </si>
  <si>
    <t>Zutphen</t>
  </si>
  <si>
    <t>info@showtuinnederland.nl</t>
  </si>
  <si>
    <t>Prinses Wilhelminastraat 9</t>
  </si>
  <si>
    <t>0106</t>
  </si>
  <si>
    <t>Shtan Vitaliy</t>
  </si>
  <si>
    <t>Trakt Lubelski 397</t>
  </si>
  <si>
    <t>Warszawa</t>
  </si>
  <si>
    <t>Vitalij.shtan@gmail.com</t>
  </si>
  <si>
    <t>Prof Poelslaan 58</t>
  </si>
  <si>
    <t>0340</t>
  </si>
  <si>
    <t>C Rotterdam</t>
  </si>
  <si>
    <t>Soul inn B.B B.V</t>
  </si>
  <si>
    <t>Oude Delft</t>
  </si>
  <si>
    <t>Delft</t>
  </si>
  <si>
    <t>ed@edwinroos.com</t>
  </si>
  <si>
    <t>Professor Kamerlingh Onneslaan 105</t>
  </si>
  <si>
    <t>0269</t>
  </si>
  <si>
    <t>b2 Schiedam</t>
  </si>
  <si>
    <t>Space4U B.V.</t>
  </si>
  <si>
    <t>Kastelenplein 4</t>
  </si>
  <si>
    <t>EINDHOVEN</t>
  </si>
  <si>
    <t>info@space4ubv.nl</t>
  </si>
  <si>
    <t>Professor Kamerlingh Onneslaan 134 B1</t>
  </si>
  <si>
    <t>0270</t>
  </si>
  <si>
    <t>St. Zakelijke Beh.rek. Dijkstra Vastgoedbeh.</t>
  </si>
  <si>
    <t>Berglaan 14</t>
  </si>
  <si>
    <t>DRACHTEN</t>
  </si>
  <si>
    <t>Professor Kamerlingh Onneslaan 134 B2</t>
  </si>
  <si>
    <t>0271</t>
  </si>
  <si>
    <t>Stay21</t>
  </si>
  <si>
    <t>Professor Kamerlingh Onneslaan 134 B3</t>
  </si>
  <si>
    <t>0272</t>
  </si>
  <si>
    <t>StayProjects Group Netherlands B.V.</t>
  </si>
  <si>
    <t>Bijdorpplein 9 - 11</t>
  </si>
  <si>
    <t>sametkaya@staysolutions.com</t>
  </si>
  <si>
    <t>Prunuslaan 36</t>
  </si>
  <si>
    <t>0117</t>
  </si>
  <si>
    <t>Stichting Bewaring PRMD</t>
  </si>
  <si>
    <t>finance1@prmd.nl</t>
  </si>
  <si>
    <t>Punter 22</t>
  </si>
  <si>
    <t>0204</t>
  </si>
  <si>
    <t>4711EW</t>
  </si>
  <si>
    <t>St. Willebrord</t>
  </si>
  <si>
    <t>Suricare B.V.</t>
  </si>
  <si>
    <t>Kastanjelaan 8</t>
  </si>
  <si>
    <t>VELP</t>
  </si>
  <si>
    <t>arie.degroot@carevisie.nl</t>
  </si>
  <si>
    <t>Putsebosch 136</t>
  </si>
  <si>
    <t>0361</t>
  </si>
  <si>
    <t>B01 Rotterdam</t>
  </si>
  <si>
    <t>T. Hoolhorst</t>
  </si>
  <si>
    <t>Leliestraat 21</t>
  </si>
  <si>
    <t>t.hoolhorst@gmail.com</t>
  </si>
  <si>
    <t>Putter 42</t>
  </si>
  <si>
    <t>0327</t>
  </si>
  <si>
    <t>T. van de Moosdijk</t>
  </si>
  <si>
    <t>Rembrandtstraat 20B</t>
  </si>
  <si>
    <t>0233</t>
  </si>
  <si>
    <t>3086TP</t>
  </si>
  <si>
    <t>T.A. Middelkoop</t>
  </si>
  <si>
    <t>Vlietskade 9015</t>
  </si>
  <si>
    <t>ARKEL</t>
  </si>
  <si>
    <t>tunny.10@hotmail.com</t>
  </si>
  <si>
    <t>Rietdijkstraat 56A</t>
  </si>
  <si>
    <t>0363</t>
  </si>
  <si>
    <t>T.A. van der Burg</t>
  </si>
  <si>
    <t>Heeswijk 113</t>
  </si>
  <si>
    <t>vanderburgron@gmail.com</t>
  </si>
  <si>
    <t>Rietdijkstraat 56B</t>
  </si>
  <si>
    <t>0364</t>
  </si>
  <si>
    <t>THS EU B.V.</t>
  </si>
  <si>
    <t>Paasheuvelweg 34 A</t>
  </si>
  <si>
    <t>AMSTERDAM</t>
  </si>
  <si>
    <t>invoices@tecline.com</t>
  </si>
  <si>
    <t>Rijpstraat 24</t>
  </si>
  <si>
    <t>0377</t>
  </si>
  <si>
    <t>TNM Vastgoed B.V.</t>
  </si>
  <si>
    <t>Ringbaan Oost 327</t>
  </si>
  <si>
    <t>0005</t>
  </si>
  <si>
    <t>4243 TM</t>
  </si>
  <si>
    <t>Nieuwland</t>
  </si>
  <si>
    <t>TOTAL Nederland N.V.</t>
  </si>
  <si>
    <t>Bezuidenhoutseweg 273</t>
  </si>
  <si>
    <t>Rivierdijk 793</t>
  </si>
  <si>
    <t>0226</t>
  </si>
  <si>
    <t>8607BK</t>
  </si>
  <si>
    <t>Team Home Rentals B.V.</t>
  </si>
  <si>
    <t>Dopplerweg1</t>
  </si>
  <si>
    <t>administratie@teamhomerentals.nl</t>
  </si>
  <si>
    <t>Rooseveltlaan 185</t>
  </si>
  <si>
    <t>0179</t>
  </si>
  <si>
    <t>Team Technical Services BV</t>
  </si>
  <si>
    <t>Marrewijklaan 11</t>
  </si>
  <si>
    <t>robert@team-ts.nl</t>
  </si>
  <si>
    <t>Rotterdamsedijk 154B</t>
  </si>
  <si>
    <t>0234</t>
  </si>
  <si>
    <t>3421GL</t>
  </si>
  <si>
    <t>Team Unica B.V.</t>
  </si>
  <si>
    <t>Langeweg 15B</t>
  </si>
  <si>
    <t>Oostvoorne</t>
  </si>
  <si>
    <t>facturen@teamunica.nl</t>
  </si>
  <si>
    <t>Rubensplein 3 B</t>
  </si>
  <si>
    <t>0235</t>
  </si>
  <si>
    <t>3131 HV</t>
  </si>
  <si>
    <t>TecFlex B.V.</t>
  </si>
  <si>
    <t>Emdenweg 3</t>
  </si>
  <si>
    <t>GRONINGEN</t>
  </si>
  <si>
    <t>jkoning@tecflex.nl</t>
  </si>
  <si>
    <t>Rubensplein 6B</t>
  </si>
  <si>
    <t>0154</t>
  </si>
  <si>
    <t>Techvisie Personeelsdiensten Centraal B.V.</t>
  </si>
  <si>
    <t>facturen@techvisie.nl</t>
  </si>
  <si>
    <t>Ruigenhoek 69</t>
  </si>
  <si>
    <t>0362</t>
  </si>
  <si>
    <t>Tempsteel B.V.</t>
  </si>
  <si>
    <t>Paul Krugerstraat 12 H</t>
  </si>
  <si>
    <t>m.matelis@tempsteel.eu</t>
  </si>
  <si>
    <t>Schalkeroord 389</t>
  </si>
  <si>
    <t>0236</t>
  </si>
  <si>
    <t>The Housing Guild B.V.</t>
  </si>
  <si>
    <t>Blankenstein 136</t>
  </si>
  <si>
    <t>MEPPEL</t>
  </si>
  <si>
    <t>r.nijboer@degildegroep.nl</t>
  </si>
  <si>
    <t>Scheepjesbrug 433</t>
  </si>
  <si>
    <t>0144</t>
  </si>
  <si>
    <t>8315AH</t>
  </si>
  <si>
    <t>Luttelgeest</t>
  </si>
  <si>
    <t>Thuisvesting B.V.</t>
  </si>
  <si>
    <t>Barneveldsestraat 44</t>
  </si>
  <si>
    <t>Renswoude</t>
  </si>
  <si>
    <t>facturen@thuisvesting.com</t>
  </si>
  <si>
    <t>Scheepjesbrug 814</t>
  </si>
  <si>
    <t>0197</t>
  </si>
  <si>
    <t>3381 KV</t>
  </si>
  <si>
    <t>Timing Uitzendteam BV</t>
  </si>
  <si>
    <t>Deventerstraat 15-2</t>
  </si>
  <si>
    <t>inkoopfacturen@timing.nl</t>
  </si>
  <si>
    <t>Schere 238</t>
  </si>
  <si>
    <t>0237</t>
  </si>
  <si>
    <t>3076 SM</t>
  </si>
  <si>
    <t>Tradiro Services B.V.</t>
  </si>
  <si>
    <t>Honderdland 960</t>
  </si>
  <si>
    <t>facturen@tradiro.nl</t>
  </si>
  <si>
    <t>Schoonegge 110</t>
  </si>
  <si>
    <t>0239</t>
  </si>
  <si>
    <t>3117XV</t>
  </si>
  <si>
    <t>Transport People B.V.</t>
  </si>
  <si>
    <t>Tiendweg 24</t>
  </si>
  <si>
    <t>facturenaalsmeer@transportpeople.nl</t>
  </si>
  <si>
    <t>Schoonegge 84</t>
  </si>
  <si>
    <t>0240</t>
  </si>
  <si>
    <t>Twins BV</t>
  </si>
  <si>
    <t>Burgemeester Letteweg 31</t>
  </si>
  <si>
    <t>info@twinsbv.com</t>
  </si>
  <si>
    <t>Sint Annalandstraat 116</t>
  </si>
  <si>
    <t>0164</t>
  </si>
  <si>
    <t>UAB Baltic Contracting Group</t>
  </si>
  <si>
    <t>Kristina.domarkaite@baltcontract.eu</t>
  </si>
  <si>
    <t>Sint Josephstraat 61</t>
  </si>
  <si>
    <t>0050</t>
  </si>
  <si>
    <t>UAB Techsome</t>
  </si>
  <si>
    <t>Šėtos g. 116-311</t>
  </si>
  <si>
    <t>Kėdainiai</t>
  </si>
  <si>
    <t>info@techsoma.lt</t>
  </si>
  <si>
    <t>Sint Liduinastraat 76 A</t>
  </si>
  <si>
    <t>0242</t>
  </si>
  <si>
    <t>3141 TH</t>
  </si>
  <si>
    <t>UAB Toromega</t>
  </si>
  <si>
    <t>Sint Liduinastraat 80A</t>
  </si>
  <si>
    <t>0243</t>
  </si>
  <si>
    <t>7741 VK</t>
  </si>
  <si>
    <t>Danes g.6</t>
  </si>
  <si>
    <t>dovydas.j@toromega.eu</t>
  </si>
  <si>
    <t>Sint Liduinastraat 80B</t>
  </si>
  <si>
    <t>0244</t>
  </si>
  <si>
    <t>4541BA</t>
  </si>
  <si>
    <t xml:space="preserve">Sluiskil </t>
  </si>
  <si>
    <t>UAB „Laivsta“/ JSC „Laivsta“, Part of Litana Group</t>
  </si>
  <si>
    <t>Verslo str. 6</t>
  </si>
  <si>
    <t>Klaipeda, Lithuania</t>
  </si>
  <si>
    <t>aleksej.frolov@litana-group.com</t>
  </si>
  <si>
    <t>Snecanusstraat 12</t>
  </si>
  <si>
    <t>0123</t>
  </si>
  <si>
    <t>Uitzendbureau Bakker B.V.</t>
  </si>
  <si>
    <t>Albertjoachimkade 33H</t>
  </si>
  <si>
    <t>Goes</t>
  </si>
  <si>
    <t>administratie@bedrijvenbakker.nl</t>
  </si>
  <si>
    <t>Snoekenveen 242</t>
  </si>
  <si>
    <t>0124</t>
  </si>
  <si>
    <t>Uitzendwerk B.V.</t>
  </si>
  <si>
    <t>Edisonstraat 2H</t>
  </si>
  <si>
    <t>facturen@uitzendwerk.eu</t>
  </si>
  <si>
    <t>Socratessstraat 168</t>
  </si>
  <si>
    <t>0246</t>
  </si>
  <si>
    <t>4541AZ</t>
  </si>
  <si>
    <t>Sluiskil</t>
  </si>
  <si>
    <t>United Homes B.V.</t>
  </si>
  <si>
    <t>Van Vollenhovenstraat 10</t>
  </si>
  <si>
    <t>administratie@unitedhomes.eu</t>
  </si>
  <si>
    <t>Spoorsingel 154b</t>
  </si>
  <si>
    <t>0247</t>
  </si>
  <si>
    <t>3255AX</t>
  </si>
  <si>
    <t>United Homes Inhouse B.V.</t>
  </si>
  <si>
    <t>Stal 355</t>
  </si>
  <si>
    <t>0200</t>
  </si>
  <si>
    <t>3076BP</t>
  </si>
  <si>
    <t>V.B.A. Beheer B.V.</t>
  </si>
  <si>
    <t>Ouddeelstraat 9</t>
  </si>
  <si>
    <t>vbabv@outlook.com</t>
  </si>
  <si>
    <t>Steenen Dijck 87</t>
  </si>
  <si>
    <t>0099</t>
  </si>
  <si>
    <t>8606CW</t>
  </si>
  <si>
    <t>V.O.F. Groepsaccommodaties Drenthe</t>
  </si>
  <si>
    <t>Westeind 12</t>
  </si>
  <si>
    <t>Norg</t>
  </si>
  <si>
    <t>Struitenweg 19B</t>
  </si>
  <si>
    <t>0127</t>
  </si>
  <si>
    <t>VALO Facilities B.V.</t>
  </si>
  <si>
    <t>Bruistensingel 400</t>
  </si>
  <si>
    <t>'s-Hertogenbosch</t>
  </si>
  <si>
    <t>invoices.facilities@valo-group.eu</t>
  </si>
  <si>
    <t>Tesselschadelaan 45</t>
  </si>
  <si>
    <t>0128</t>
  </si>
  <si>
    <t>Tholenstraat 114</t>
  </si>
  <si>
    <t>0249</t>
  </si>
  <si>
    <t>Vaktec B.V.</t>
  </si>
  <si>
    <t>Kieler Bocht 29 a</t>
  </si>
  <si>
    <t>inkoopfacturen@vaktec.nl</t>
  </si>
  <si>
    <t>Utrechtse straatweg 7</t>
  </si>
  <si>
    <t>0129</t>
  </si>
  <si>
    <t>1277 AL</t>
  </si>
  <si>
    <t>Vaktec BV</t>
  </si>
  <si>
    <t>Kielerbocht 29A</t>
  </si>
  <si>
    <t>j.deboer@vaktec.nl</t>
  </si>
  <si>
    <t>Vaartweg 106C</t>
  </si>
  <si>
    <t>0021</t>
  </si>
  <si>
    <t>Valkenet Vastgoed B.V.</t>
  </si>
  <si>
    <t>Perkinsbaan 15 A</t>
  </si>
  <si>
    <t>NIEUWEGEIN</t>
  </si>
  <si>
    <t>Van Hoofsweg 4</t>
  </si>
  <si>
    <t>0355</t>
  </si>
  <si>
    <t>Nieuw Vossemeer</t>
  </si>
  <si>
    <t>Van Bergen Personeelsdiensten B.V.</t>
  </si>
  <si>
    <t>facturen@aubvanbergen.nl</t>
  </si>
  <si>
    <t>Van Langendonckstraat 80</t>
  </si>
  <si>
    <t>0130</t>
  </si>
  <si>
    <t>Van Mossel Rotterdam</t>
  </si>
  <si>
    <t>Driemanssteeweg 690A</t>
  </si>
  <si>
    <t>simon.beumer@vanmossel.nl</t>
  </si>
  <si>
    <t>Van Ruijsdaellaan 72 B</t>
  </si>
  <si>
    <t>0351</t>
  </si>
  <si>
    <t>Van der Wal Bedrijfshuisvesting B.V.</t>
  </si>
  <si>
    <t>Beeldsweg 6 a</t>
  </si>
  <si>
    <t>Van Ruijsdaellaan 72 C</t>
  </si>
  <si>
    <t>0352</t>
  </si>
  <si>
    <t>Vast-PS Housing</t>
  </si>
  <si>
    <t>Verlaatsweg 33</t>
  </si>
  <si>
    <t>SPIERDIJK</t>
  </si>
  <si>
    <t>info@vast-ps.nl</t>
  </si>
  <si>
    <t>Van Ruijsdaellaan 72A</t>
  </si>
  <si>
    <t>0347</t>
  </si>
  <si>
    <t>Vastgoed Spijkenisse</t>
  </si>
  <si>
    <t>Theemsweg 85</t>
  </si>
  <si>
    <t>a.bilge@vastgoedspijkenisse.nl</t>
  </si>
  <si>
    <t>Van Swinderenstraat 21</t>
  </si>
  <si>
    <t>0324</t>
  </si>
  <si>
    <t>Verhuur en onderhoudsbedrijf Hilaard</t>
  </si>
  <si>
    <t>Hilaerdermieden 1</t>
  </si>
  <si>
    <t>HILAARD</t>
  </si>
  <si>
    <t>verhuurenonderhoudsbedrijfhilaard@outlook.com</t>
  </si>
  <si>
    <t>Van der Werffstraat 370</t>
  </si>
  <si>
    <t>0238</t>
  </si>
  <si>
    <t>3038 CZ</t>
  </si>
  <si>
    <t>Verkeersschool Nobel</t>
  </si>
  <si>
    <t>Oostdijk 37</t>
  </si>
  <si>
    <t>info@verkeersschoolnobel.nl</t>
  </si>
  <si>
    <t>Venkelstraat 29a</t>
  </si>
  <si>
    <t>0137</t>
  </si>
  <si>
    <t>Verlangen Finance BV</t>
  </si>
  <si>
    <t>Touwbaan 1</t>
  </si>
  <si>
    <t>info@verlangenfinance.nl</t>
  </si>
  <si>
    <t>Verschansing 21</t>
  </si>
  <si>
    <t>0387</t>
  </si>
  <si>
    <t>Vivir Wonen</t>
  </si>
  <si>
    <t>Postbus 811</t>
  </si>
  <si>
    <t>info@vivirwonen.nl</t>
  </si>
  <si>
    <t>Vierambachtsstraat 32-B01</t>
  </si>
  <si>
    <t>0374</t>
  </si>
  <si>
    <t>3023AN</t>
  </si>
  <si>
    <t>Vleesbewerking van der Pijl B.V.</t>
  </si>
  <si>
    <t>Cypresbaan 6a</t>
  </si>
  <si>
    <t>facturen@vleesbewerkingvanderpijl.nl</t>
  </si>
  <si>
    <t>Visstraat 31</t>
  </si>
  <si>
    <t>0158</t>
  </si>
  <si>
    <t>Vlot Vastgoed B.V.</t>
  </si>
  <si>
    <t>Pontdyk 8 c</t>
  </si>
  <si>
    <t>Voeghoutenstraat 23</t>
  </si>
  <si>
    <t>0132</t>
  </si>
  <si>
    <t>7904 LV</t>
  </si>
  <si>
    <t>Vondellaan Vastgoed Beheer B.V.</t>
  </si>
  <si>
    <t>Apeldoornseweg 43</t>
  </si>
  <si>
    <t>ARNHEM</t>
  </si>
  <si>
    <t>Vogelschorstraat 24</t>
  </si>
  <si>
    <t>0167</t>
  </si>
  <si>
    <t>4702MA</t>
  </si>
  <si>
    <t>W.T. Bosgraaf en E. Stam</t>
  </si>
  <si>
    <t>Eerste Weteringdwarsstraat 75</t>
  </si>
  <si>
    <t>Voorstraat 10</t>
  </si>
  <si>
    <t>0077</t>
  </si>
  <si>
    <t>WIL International B.V.</t>
  </si>
  <si>
    <t>Streekweg 22</t>
  </si>
  <si>
    <t>international@wilgroep.nl</t>
  </si>
  <si>
    <t>Voorstraat 25</t>
  </si>
  <si>
    <t>0080</t>
  </si>
  <si>
    <t>3085 DB</t>
  </si>
  <si>
    <t>WILL Vakkrachten B. V.</t>
  </si>
  <si>
    <t>administratie@wilgroep.nl</t>
  </si>
  <si>
    <t>Voorstraat 3</t>
  </si>
  <si>
    <t>0096</t>
  </si>
  <si>
    <t>4551VE</t>
  </si>
  <si>
    <t>WS Detachering BV</t>
  </si>
  <si>
    <t>administratie@workstead.nl</t>
  </si>
  <si>
    <t>Waellandweg 12</t>
  </si>
  <si>
    <t>0286</t>
  </si>
  <si>
    <t>Welcome Housing B.V.</t>
  </si>
  <si>
    <t>Heilig Hartplein 1</t>
  </si>
  <si>
    <t>Invoices@hobij.nl</t>
  </si>
  <si>
    <t>Wagenstraat 70</t>
  </si>
  <si>
    <t>0348</t>
  </si>
  <si>
    <t>Wagenberg</t>
  </si>
  <si>
    <t>Werckpost Service B.V.</t>
  </si>
  <si>
    <t>Het Rif 1</t>
  </si>
  <si>
    <t>URK</t>
  </si>
  <si>
    <t>facturen@werckpost.nl</t>
  </si>
  <si>
    <t>Wedderweg 3</t>
  </si>
  <si>
    <t>0368</t>
  </si>
  <si>
    <t>Vriescheloo</t>
  </si>
  <si>
    <t>Workforce Housing Holland B.V.</t>
  </si>
  <si>
    <t>Keizersgracht 209</t>
  </si>
  <si>
    <t>invoices@w-hi.com</t>
  </si>
  <si>
    <t>Westercluft 134</t>
  </si>
  <si>
    <t>0138</t>
  </si>
  <si>
    <t>Workforce Housing International B.V</t>
  </si>
  <si>
    <t>Keizersgracht 241</t>
  </si>
  <si>
    <t>Westfrankelandsestraat 106</t>
  </si>
  <si>
    <t>0037</t>
  </si>
  <si>
    <t>Works Personeelsdiensten</t>
  </si>
  <si>
    <t>info@works.jobs</t>
  </si>
  <si>
    <t>Westfrankelandsestraat 108</t>
  </si>
  <si>
    <t>0038</t>
  </si>
  <si>
    <t>Y. K. Bos</t>
  </si>
  <si>
    <t>Europaplein 49</t>
  </si>
  <si>
    <t>Wieldraaierstraat 39</t>
  </si>
  <si>
    <t>0105</t>
  </si>
  <si>
    <t>YaY</t>
  </si>
  <si>
    <t>Kikkerveen 217</t>
  </si>
  <si>
    <t>yolanda@youronlineassociate.nl</t>
  </si>
  <si>
    <t>Wijdstraat 13</t>
  </si>
  <si>
    <t>0171</t>
  </si>
  <si>
    <t>Z Yilmaz</t>
  </si>
  <si>
    <t>tomatenlaan 10a</t>
  </si>
  <si>
    <t>z.yilmaz@yilmazradijs.nl</t>
  </si>
  <si>
    <t>Wijngaard 66</t>
  </si>
  <si>
    <t>0212</t>
  </si>
  <si>
    <t>8242DT</t>
  </si>
  <si>
    <t>ZaMens R.I.A. B.V.</t>
  </si>
  <si>
    <t>Parmentierplein 20</t>
  </si>
  <si>
    <t>facturen@zamens.nl</t>
  </si>
  <si>
    <t>Wilgensingel 63</t>
  </si>
  <si>
    <t>0139</t>
  </si>
  <si>
    <t>Zeeland Housing Facility B.V.</t>
  </si>
  <si>
    <t>Prinsenhove 168</t>
  </si>
  <si>
    <t>info@housingzeeland.nl</t>
  </si>
  <si>
    <t>Wilgenstraat 37</t>
  </si>
  <si>
    <t>0140</t>
  </si>
  <si>
    <t>3072DB</t>
  </si>
  <si>
    <t>dockHolland Huisvesting B.V.</t>
  </si>
  <si>
    <t>Industrieweg 130A</t>
  </si>
  <si>
    <t>inkoopfacturen@dockholland.com</t>
  </si>
  <si>
    <t>0142</t>
  </si>
  <si>
    <t>house of work</t>
  </si>
  <si>
    <t>Stoelmatter 38</t>
  </si>
  <si>
    <t>Wateringen</t>
  </si>
  <si>
    <t>rob.jansen@houseofwork.nl</t>
  </si>
  <si>
    <t>Wilhelminastraat 8</t>
  </si>
  <si>
    <t>0141</t>
  </si>
  <si>
    <t>3181AL</t>
  </si>
  <si>
    <t>van Heeswijk</t>
  </si>
  <si>
    <t>Willem Lodewijkstraat 8</t>
  </si>
  <si>
    <t>0143</t>
  </si>
  <si>
    <t>7908 BC</t>
  </si>
  <si>
    <t>Willem de Rijkelaan 134</t>
  </si>
  <si>
    <t>0161</t>
  </si>
  <si>
    <t>Woutersweg 20</t>
  </si>
  <si>
    <t>0186</t>
  </si>
  <si>
    <t>3353AZ</t>
  </si>
  <si>
    <t>Wouwbaan 230</t>
  </si>
  <si>
    <t>0145</t>
  </si>
  <si>
    <t>2676 BL</t>
  </si>
  <si>
    <t>Zuidhoek 209D</t>
  </si>
  <si>
    <t>0232</t>
  </si>
  <si>
    <t>4707CJ</t>
  </si>
  <si>
    <t>Zwethkade Zuid 30a</t>
  </si>
  <si>
    <t>0376</t>
  </si>
  <si>
    <t>Den Hoorn</t>
  </si>
  <si>
    <t>de Genestetstraat 32</t>
  </si>
  <si>
    <t>0169</t>
  </si>
  <si>
    <t>3181 WT</t>
  </si>
  <si>
    <t>van Maanenstraat 14A</t>
  </si>
  <si>
    <t>0089</t>
  </si>
  <si>
    <t>van Scorelstraat 73</t>
  </si>
  <si>
    <t>0016</t>
  </si>
  <si>
    <t>van der Waalsstraat 16</t>
  </si>
  <si>
    <t>0248</t>
  </si>
  <si>
    <t>3135HV</t>
  </si>
  <si>
    <t>van der Waalsstraat 70</t>
  </si>
  <si>
    <t>0250</t>
  </si>
  <si>
    <t>9699 RA</t>
  </si>
  <si>
    <t>van der Werffstraat 166</t>
  </si>
  <si>
    <t>0241</t>
  </si>
  <si>
    <t>van der Werffstraat 240</t>
  </si>
  <si>
    <t>0245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</si>
  <si>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</si>
  <si>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</si>
  <si>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</si>
  <si>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</si>
  <si>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</si>
  <si>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</si>
  <si>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</si>
  <si>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</si>
  <si>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Water (m³) Begin</t>
  </si>
  <si>
    <t>Water (m³) Eind</t>
  </si>
  <si>
    <t>Water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</si>
  <si>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</si>
  <si>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</si>
  <si>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Type</t>
  </si>
  <si>
    <t>Omschrijving</t>
  </si>
  <si>
    <t>Eenheid</t>
  </si>
  <si>
    <t>Verbruik</t>
  </si>
  <si>
    <t>Tarief excl. BTW (€)</t>
  </si>
  <si>
    <t>Kosten excl. BTW (€)</t>
  </si>
  <si>
    <t>BTW %</t>
  </si>
  <si>
    <t>BTW (€)</t>
  </si>
  <si>
    <t>TOTALEN (automatisch berekend)</t>
  </si>
  <si>
    <t>Totaal excl. BTW (automatisch)</t>
  </si>
  <si>
    <t>BTW (Totaal, 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</si>
  <si>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</si>
  <si>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</si>
  <si>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</si>
  <si>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</si>
  <si>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</si>
  <si>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</si>
  <si>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</si>
  <si>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</si>
  <si>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</si>
  <si>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</si>
  <si>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</si>
  <si>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</si>
  <si>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</si>
  <si>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</si>
  <si>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Via RyanRent</t>
  </si>
  <si>
    <t>Achteraf Betaald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</si>
  <si>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</si>
  <si>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</si>
  <si>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</si>
  <si>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</si>
  <si>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</si>
  <si>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</si>
  <si>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</si>
  <si>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</si>
  <si>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</si>
  <si>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</si>
  <si>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</si>
  <si>
    <t>Water</t>
  </si>
  <si>
    <t>Elektra</t>
  </si>
  <si>
    <t>Gas</t>
  </si>
  <si>
    <t>dag</t>
  </si>
  <si>
    <t>Vattenfall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</si>
</sst>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€\ #,##0.00"/>
    <numFmt numFmtId="166" formatCode="\€\ #,##0.00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11"/>
      <color rgb="FF666666"/>
      <name val="Calibri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9"/>
      <color rgb="FF66666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165" fontId="0" fillId="5" borderId="1" xfId="0" applyNumberFormat="1" applyFill="1" applyBorder="1"/>
    <xf numFmtId="9" fontId="0" fillId="4" borderId="1" xfId="0" applyNumberFormat="1" applyFill="1" applyBorder="1"/>
    <xf numFmtId="0" fontId="4" fillId="0" borderId="0" xfId="0" applyFont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9" fontId="0" fillId="0" borderId="1" xfId="0" applyNumberFormat="1" applyBorder="1"/>
    <xf numFmtId="0" fontId="8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8" fillId="4" borderId="1" xfId="0" applyNumberFormat="1" applyFont="1" applyFill="1" applyBorder="1"/>
    <xf numFmtId="0" fontId="9" fillId="0" borderId="0" xfId="0" applyFont="1"/>
    <xf numFmtId="165" fontId="9" fillId="5" borderId="2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11" borderId="1" xfId="0" applyFont="1" applyFill="1" applyBorder="1"/>
    <xf numFmtId="165" fontId="11" fillId="11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60"/>
  <sheetViews>
    <sheetView tabSelected="1" workbookViewId="0">
      <pane ySplit="2" topLeftCell="A22" activePane="bottomLeft" state="frozen"/>
      <selection pane="bottomLeft" activeCell="B43" sqref="B43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0" t="s">
        <v>0</v>
      </c>
      <c r="B1" s="28"/>
    </row>
    <row r="3" spans="1:2" x14ac:dyDescent="0.2">
      <c r="A3" s="27" t="s">
        <v>1</v>
      </c>
      <c r="B3" s="28"/>
    </row>
    <row r="4" spans="1:2" x14ac:dyDescent="0.2">
      <c r="A4" s="1" t="s">
        <v>2</v>
      </c>
      <c r="B4" s="2" t="s">
        <v>400</v>
      </c>
    </row>
    <row r="5" spans="1:2" x14ac:dyDescent="0.2">
      <c r="A5" s="1" t="s">
        <v>3</v>
      </c>
      <c r="B5" s="3">
        <f>IFERROR(VLOOKUP(B4,Lists!$F:$K,2,FALSE),"")</f>
        <v>50201</v>
      </c>
    </row>
    <row r="6" spans="1:2" x14ac:dyDescent="0.2">
      <c r="A6" s="1" t="s">
        <v>4</v>
      </c>
      <c r="B6" s="3" t="str">
        <f>IFERROR(VLOOKUP(B4,Lists!$F:$K,3,FALSE),"")</f>
        <v>Deltageul 13</v>
      </c>
    </row>
    <row r="7" spans="1:2" x14ac:dyDescent="0.2">
      <c r="A7" s="1" t="s">
        <v>5</v>
      </c>
      <c r="B7" s="3">
        <f>IFERROR(VLOOKUP(B4,Lists!$F:$K,4,FALSE),"")</f>
        <v>0</v>
      </c>
    </row>
    <row r="8" spans="1:2" x14ac:dyDescent="0.2">
      <c r="A8" s="1" t="s">
        <v>6</v>
      </c>
      <c r="B8" s="3" t="str">
        <f>IFERROR(VLOOKUP(B4,Lists!$F:$K,5,FALSE),"")</f>
        <v>STELLENDAM</v>
      </c>
    </row>
    <row r="9" spans="1:2" x14ac:dyDescent="0.2">
      <c r="A9" s="1" t="s">
        <v>7</v>
      </c>
      <c r="B9" s="3" t="str">
        <f>IFERROR(VLOOKUP(B4,Lists!$F:$K,6,FALSE),"")</f>
        <v>Facturen@dspeople.nl</v>
      </c>
    </row>
    <row r="11" spans="1:2" x14ac:dyDescent="0.2">
      <c r="A11" s="27" t="s">
        <v>8</v>
      </c>
      <c r="B11" s="28"/>
    </row>
    <row r="12" spans="1:2" x14ac:dyDescent="0.2">
      <c r="A12" s="1" t="s">
        <v>9</v>
      </c>
      <c r="B12" s="2" t="s">
        <v>1966</v>
      </c>
    </row>
    <row r="13" spans="1:2" x14ac:dyDescent="0.2">
      <c r="A13" s="1" t="s">
        <v>10</v>
      </c>
      <c r="B13" s="3" t="str">
        <f>IFERROR(VLOOKUP(B12,Lists!$A:$B,2,FALSE),"")</f>
        <v>0179</v>
      </c>
    </row>
    <row r="14" spans="1:2" x14ac:dyDescent="0.2">
      <c r="A14" s="1" t="s">
        <v>11</v>
      </c>
      <c r="B14" s="4"/>
    </row>
    <row r="15" spans="1:2" x14ac:dyDescent="0.2">
      <c r="A15" s="1" t="s">
        <v>12</v>
      </c>
      <c r="B15" s="3" t="str">
        <f>IFERROR(VLOOKUP(B12,Lists!$A:$D,3,FALSE),"")</f>
        <v>2481KA</v>
      </c>
    </row>
    <row r="16" spans="1:2" x14ac:dyDescent="0.2">
      <c r="A16" s="1" t="s">
        <v>13</v>
      </c>
      <c r="B16" s="3" t="str">
        <f>IFERROR(VLOOKUP(B12,Lists!$A:$D,4,FALSE),"")</f>
        <v>Woubrugge</v>
      </c>
    </row>
    <row r="17" spans="1:2" x14ac:dyDescent="0.2">
      <c r="A17" s="1" t="s">
        <v>10</v>
      </c>
      <c r="B17" s="3" t="str">
        <f>IF(B12="","",VLOOKUP(B12,Lists!$A$2:$B$389,2,FALSE))</f>
        <v>0179</v>
      </c>
    </row>
    <row r="19" spans="1:2" x14ac:dyDescent="0.2">
      <c r="A19" s="27" t="s">
        <v>14</v>
      </c>
      <c r="B19" s="28"/>
    </row>
    <row r="20" spans="1:2" x14ac:dyDescent="0.2">
      <c r="A20" s="1" t="s">
        <v>15</v>
      </c>
      <c r="B20" s="5">
        <v>45382</v>
      </c>
    </row>
    <row r="21" spans="1:2" x14ac:dyDescent="0.2">
      <c r="A21" s="1" t="s">
        <v>16</v>
      </c>
      <c r="B21" s="5">
        <v>45961</v>
      </c>
    </row>
    <row r="22" spans="1:2" x14ac:dyDescent="0.2">
      <c r="A22" s="1" t="s">
        <v>17</v>
      </c>
      <c r="B22" s="6">
        <f>IF(AND(B20&lt;&gt;"",B21&lt;&gt;""),B21-B20,"")</f>
        <v>579</v>
      </c>
    </row>
    <row r="24" spans="1:2" x14ac:dyDescent="0.2">
      <c r="A24" s="27" t="s">
        <v>18</v>
      </c>
      <c r="B24" s="28"/>
    </row>
    <row r="25" spans="1:2" x14ac:dyDescent="0.2">
      <c r="A25" s="1" t="s">
        <v>19</v>
      </c>
      <c r="B25" s="7">
        <v>3100</v>
      </c>
    </row>
    <row r="26" spans="1:2" x14ac:dyDescent="0.2">
      <c r="A26" s="1" t="s">
        <v>20</v>
      </c>
      <c r="B26" s="2" t="s">
        <v>2337</v>
      </c>
    </row>
    <row r="27" spans="1:2" x14ac:dyDescent="0.2">
      <c r="A27" s="1" t="s">
        <v>21</v>
      </c>
      <c r="B27" s="8">
        <v>300</v>
      </c>
    </row>
    <row r="28" spans="1:2" x14ac:dyDescent="0.2">
      <c r="A28" s="1" t="s">
        <v>22</v>
      </c>
      <c r="B28" s="9">
        <f>IF(B26="Eigen Beheer",0,IF(ISNUMBER(B27), (B27 * 12 / 365) * Aantal_dagen, 0))</f>
        <v>5710.6849315068494</v>
      </c>
    </row>
    <row r="29" spans="1:2" x14ac:dyDescent="0.2">
      <c r="A29" s="1" t="s">
        <v>23</v>
      </c>
      <c r="B29" s="7"/>
    </row>
    <row r="30" spans="1:2" x14ac:dyDescent="0.2">
      <c r="A30" s="1" t="s">
        <v>24</v>
      </c>
      <c r="B30" s="8">
        <v>0</v>
      </c>
    </row>
    <row r="31" spans="1:2" x14ac:dyDescent="0.2">
      <c r="A31" s="1" t="s">
        <v>25</v>
      </c>
      <c r="B31" s="8">
        <v>0</v>
      </c>
    </row>
    <row r="32" spans="1:2" x14ac:dyDescent="0.2">
      <c r="A32" s="1" t="s">
        <v>26</v>
      </c>
      <c r="B32" s="4"/>
    </row>
    <row r="34" spans="1:2" x14ac:dyDescent="0.2">
      <c r="A34" s="27" t="s">
        <v>27</v>
      </c>
      <c r="B34" s="28"/>
    </row>
    <row r="35" spans="1:2" x14ac:dyDescent="0.2">
      <c r="A35" s="1" t="s">
        <v>28</v>
      </c>
      <c r="B35" s="2" t="s">
        <v>2338</v>
      </c>
    </row>
    <row r="36" spans="1:2" x14ac:dyDescent="0.2">
      <c r="A36" s="1" t="s">
        <v>29</v>
      </c>
      <c r="B36" s="6">
        <f>IF(B35="Basis Schoonmaak",5,IF(B35="Intensief Schoonmaak",7,0))</f>
        <v>0</v>
      </c>
    </row>
    <row r="37" spans="1:2" x14ac:dyDescent="0.2">
      <c r="A37" s="1" t="s">
        <v>30</v>
      </c>
      <c r="B37" s="7">
        <v>50</v>
      </c>
    </row>
    <row r="38" spans="1:2" x14ac:dyDescent="0.2">
      <c r="A38" s="1" t="s">
        <v>31</v>
      </c>
      <c r="B38" s="10">
        <v>0.21</v>
      </c>
    </row>
    <row r="39" spans="1:2" x14ac:dyDescent="0.2">
      <c r="A39" s="1" t="s">
        <v>32</v>
      </c>
      <c r="B39" s="9">
        <f>IF([0]!Totaal_uren_gew="","",MAX(Inbegrepen_uren,[0]!Totaal_uren_gew)*B37*(1+B38))</f>
        <v>423.5</v>
      </c>
    </row>
    <row r="40" spans="1:2" x14ac:dyDescent="0.2">
      <c r="A40" s="1" t="s">
        <v>33</v>
      </c>
      <c r="B40" s="9">
        <f>MAX(0,Schoonmaak_totaal_kosten-Voorschot_schoonmaak)</f>
        <v>423.5</v>
      </c>
    </row>
    <row r="41" spans="1:2" x14ac:dyDescent="0.2">
      <c r="A41" s="1" t="s">
        <v>34</v>
      </c>
      <c r="B41" s="4" t="s">
        <v>2354</v>
      </c>
    </row>
    <row r="42" spans="1:2" x14ac:dyDescent="0.2">
      <c r="A42" s="1" t="s">
        <v>35</v>
      </c>
      <c r="B42" s="4" t="s">
        <v>2354</v>
      </c>
    </row>
    <row r="43" spans="1:2" x14ac:dyDescent="0.2">
      <c r="A43" s="1" t="s">
        <v>36</v>
      </c>
      <c r="B43" s="4"/>
    </row>
    <row r="45" spans="1:2" x14ac:dyDescent="0.2">
      <c r="A45" s="27" t="s">
        <v>37</v>
      </c>
      <c r="B45" s="28"/>
    </row>
    <row r="46" spans="1:2" x14ac:dyDescent="0.2">
      <c r="A46" s="1" t="s">
        <v>38</v>
      </c>
      <c r="B46" s="4">
        <f>Klantnummer</f>
        <v>50201</v>
      </c>
    </row>
    <row r="47" spans="1:2" x14ac:dyDescent="0.2">
      <c r="A47" s="1" t="s">
        <v>39</v>
      </c>
      <c r="B47" s="4"/>
    </row>
    <row r="48" spans="1:2" x14ac:dyDescent="0.2">
      <c r="A48" s="1" t="s">
        <v>40</v>
      </c>
      <c r="B48" s="4"/>
    </row>
    <row r="49" spans="1:3" x14ac:dyDescent="0.2">
      <c r="A49" s="1" t="s">
        <v>41</v>
      </c>
      <c r="B49" s="4"/>
    </row>
    <row r="50" spans="1:3" x14ac:dyDescent="0.2">
      <c r="A50" s="1" t="s">
        <v>42</v>
      </c>
      <c r="B50" s="4"/>
    </row>
    <row r="52" spans="1:3" x14ac:dyDescent="0.2">
      <c r="A52" s="29" t="s">
        <v>43</v>
      </c>
      <c r="B52" s="28"/>
      <c r="C52" s="11" t="s">
        <v>44</v>
      </c>
    </row>
    <row r="53" spans="1:3" x14ac:dyDescent="0.2">
      <c r="A53" s="1" t="s">
        <v>45</v>
      </c>
      <c r="B53" s="9">
        <f>[0]!Schade_totaal_incl</f>
        <v>0</v>
      </c>
    </row>
    <row r="54" spans="1:3" x14ac:dyDescent="0.2">
      <c r="A54" s="1" t="s">
        <v>46</v>
      </c>
      <c r="B54" s="9">
        <f>IF(Borg_gebruikt="","",Voorschot_borg-Borg_gebruikt)</f>
        <v>3100</v>
      </c>
    </row>
    <row r="55" spans="1:3" x14ac:dyDescent="0.2">
      <c r="A55" s="1" t="s">
        <v>47</v>
      </c>
      <c r="B55" s="9">
        <f>IF(Borg_gebruikt="","",MAX(0,Borg_gebruikt-Voorschot_borg))</f>
        <v>0</v>
      </c>
    </row>
    <row r="56" spans="1:3" x14ac:dyDescent="0.2">
      <c r="A56" s="1" t="s">
        <v>48</v>
      </c>
      <c r="B56" s="9">
        <f>IF([0]!GWE_totaal_incl="","",Voorschot_GWE-[0]!GWE_totaal_incl)</f>
        <v>-1881.363267803149</v>
      </c>
    </row>
    <row r="57" spans="1:3" x14ac:dyDescent="0.2">
      <c r="A57" s="1" t="s">
        <v>49</v>
      </c>
      <c r="B57" s="7">
        <v>0</v>
      </c>
    </row>
    <row r="58" spans="1:3" x14ac:dyDescent="0.2">
      <c r="A58" s="1" t="s">
        <v>50</v>
      </c>
      <c r="B58" s="9" t="str">
        <f>IF(Extra_voorschot_bedrag=0,"",Extra_voorschot_bedrag-Extra_voorschot_gebruikt)</f>
        <v/>
      </c>
    </row>
    <row r="59" spans="1:3" x14ac:dyDescent="0.2">
      <c r="A59" s="1" t="s">
        <v>51</v>
      </c>
      <c r="B59" s="9" t="str">
        <f>IF(Extra_voorschot_bedrag=0,"",MAX(0,Extra_voorschot_gebruikt-Extra_voorschot_bedrag))</f>
        <v/>
      </c>
    </row>
    <row r="60" spans="1:3" x14ac:dyDescent="0.2">
      <c r="A60" s="12" t="s">
        <v>52</v>
      </c>
      <c r="B60" s="13" t="str">
        <f>IF(OR(Borg_terug="",GWE_meer_minder="",[0]!Extra_schoonmaak_bedrag=""),"",Borg_terug+GWE_meer_minder-[0]!Extra_schoonmaak_bedrag+IF(Extra_voorschot_bedrag=0,0,Extra_voorschot_terug))</f>
        <v/>
      </c>
    </row>
  </sheetData>
  <mergeCells count="8">
    <mergeCell ref="A1:B1"/>
    <mergeCell ref="A3:B3"/>
    <mergeCell ref="A34:B34"/>
    <mergeCell ref="A24:B24"/>
    <mergeCell ref="A52:B52"/>
    <mergeCell ref="A19:B19"/>
    <mergeCell ref="A11:B11"/>
    <mergeCell ref="A45:B45"/>
  </mergeCells>
  <dataValidations count="2">
    <dataValidation type="list" sqref="B26" xr:uid="{00000000-0002-0000-0000-000002000000}">
      <formula1>"Via RyanRent,Eigen Beheer"</formula1>
    </dataValidation>
    <dataValidation type="list" errorTitle="Ongeldige invoer" error="Kies geen, Basis Schoonmaak, Intensief Schoonmaak, of Achteraf Betaald" sqref="B35" xr:uid="{00000000-0002-0000-0000-000003000000}">
      <formula1>"geen,Basis Schoonmaak,Intensief Schoonmaak,Achteraf Betaald"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Lists!$F$2:$F$376</xm:f>
          </x14:formula1>
          <xm:sqref>B4</xm:sqref>
        </x14:dataValidation>
        <x14:dataValidation type="list" allowBlank="1" xr:uid="{00000000-0002-0000-0000-000001000000}">
          <x14:formula1>
            <xm:f>Lists!$A$2:$A$389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9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53</v>
      </c>
      <c r="B1" t="s">
        <v>54</v>
      </c>
      <c r="C1" t="s">
        <v>12</v>
      </c>
      <c r="D1" t="s">
        <v>13</v>
      </c>
      <c r="F1" t="s">
        <v>55</v>
      </c>
      <c r="G1" t="s">
        <v>56</v>
      </c>
      <c r="H1" t="s">
        <v>57</v>
      </c>
      <c r="I1" t="s">
        <v>12</v>
      </c>
      <c r="J1" t="s">
        <v>13</v>
      </c>
      <c r="K1" t="s">
        <v>58</v>
      </c>
    </row>
    <row r="2" spans="1:11" x14ac:dyDescent="0.2">
      <c r="A2" t="s">
        <v>59</v>
      </c>
      <c r="B2" t="s">
        <v>60</v>
      </c>
      <c r="D2" t="s">
        <v>61</v>
      </c>
      <c r="F2" t="s">
        <v>62</v>
      </c>
      <c r="G2">
        <v>50223</v>
      </c>
      <c r="H2" t="s">
        <v>63</v>
      </c>
      <c r="J2" t="s">
        <v>64</v>
      </c>
      <c r="K2" t="s">
        <v>65</v>
      </c>
    </row>
    <row r="3" spans="1:11" x14ac:dyDescent="0.2">
      <c r="A3" t="s">
        <v>66</v>
      </c>
      <c r="B3" t="s">
        <v>67</v>
      </c>
      <c r="D3" t="s">
        <v>68</v>
      </c>
      <c r="F3" t="s">
        <v>69</v>
      </c>
      <c r="G3">
        <v>50224</v>
      </c>
      <c r="H3" t="s">
        <v>70</v>
      </c>
      <c r="J3" t="s">
        <v>71</v>
      </c>
      <c r="K3" t="s">
        <v>72</v>
      </c>
    </row>
    <row r="4" spans="1:11" x14ac:dyDescent="0.2">
      <c r="A4" t="s">
        <v>73</v>
      </c>
      <c r="B4" t="s">
        <v>74</v>
      </c>
      <c r="C4" t="s">
        <v>75</v>
      </c>
      <c r="D4" t="s">
        <v>76</v>
      </c>
      <c r="F4" t="s">
        <v>77</v>
      </c>
      <c r="G4">
        <v>94</v>
      </c>
    </row>
    <row r="5" spans="1:11" x14ac:dyDescent="0.2">
      <c r="A5" t="s">
        <v>78</v>
      </c>
      <c r="B5" t="s">
        <v>79</v>
      </c>
      <c r="C5" t="s">
        <v>80</v>
      </c>
      <c r="D5" t="s">
        <v>81</v>
      </c>
      <c r="F5" t="s">
        <v>77</v>
      </c>
      <c r="G5">
        <v>100151</v>
      </c>
      <c r="H5" t="s">
        <v>82</v>
      </c>
      <c r="J5" t="s">
        <v>83</v>
      </c>
      <c r="K5" t="s">
        <v>84</v>
      </c>
    </row>
    <row r="6" spans="1:11" x14ac:dyDescent="0.2">
      <c r="A6" t="s">
        <v>85</v>
      </c>
      <c r="B6" t="s">
        <v>86</v>
      </c>
      <c r="C6" t="s">
        <v>87</v>
      </c>
      <c r="D6" t="s">
        <v>88</v>
      </c>
      <c r="F6" t="s">
        <v>89</v>
      </c>
      <c r="G6">
        <v>50146</v>
      </c>
      <c r="H6" t="s">
        <v>90</v>
      </c>
      <c r="J6" t="s">
        <v>91</v>
      </c>
      <c r="K6" t="s">
        <v>92</v>
      </c>
    </row>
    <row r="7" spans="1:11" x14ac:dyDescent="0.2">
      <c r="A7" t="s">
        <v>93</v>
      </c>
      <c r="B7" t="s">
        <v>94</v>
      </c>
      <c r="C7" t="s">
        <v>87</v>
      </c>
      <c r="D7" t="s">
        <v>95</v>
      </c>
      <c r="F7" t="s">
        <v>96</v>
      </c>
      <c r="G7">
        <v>50405</v>
      </c>
      <c r="H7" t="s">
        <v>97</v>
      </c>
      <c r="J7" t="s">
        <v>98</v>
      </c>
    </row>
    <row r="8" spans="1:11" x14ac:dyDescent="0.2">
      <c r="A8" t="s">
        <v>99</v>
      </c>
      <c r="B8" t="s">
        <v>100</v>
      </c>
      <c r="C8" t="s">
        <v>101</v>
      </c>
      <c r="D8" t="s">
        <v>102</v>
      </c>
      <c r="F8" t="s">
        <v>103</v>
      </c>
      <c r="G8">
        <v>74</v>
      </c>
      <c r="H8" t="s">
        <v>104</v>
      </c>
      <c r="J8" t="s">
        <v>105</v>
      </c>
      <c r="K8" t="s">
        <v>106</v>
      </c>
    </row>
    <row r="9" spans="1:11" x14ac:dyDescent="0.2">
      <c r="A9" t="s">
        <v>107</v>
      </c>
      <c r="B9" t="s">
        <v>108</v>
      </c>
      <c r="C9" t="s">
        <v>109</v>
      </c>
      <c r="D9" t="s">
        <v>110</v>
      </c>
      <c r="F9" t="s">
        <v>111</v>
      </c>
      <c r="G9">
        <v>50142</v>
      </c>
      <c r="H9" t="s">
        <v>112</v>
      </c>
      <c r="J9" t="s">
        <v>113</v>
      </c>
    </row>
    <row r="10" spans="1:11" x14ac:dyDescent="0.2">
      <c r="A10" t="s">
        <v>114</v>
      </c>
      <c r="B10" t="s">
        <v>115</v>
      </c>
      <c r="C10" t="s">
        <v>116</v>
      </c>
      <c r="D10" t="s">
        <v>110</v>
      </c>
      <c r="F10" t="s">
        <v>117</v>
      </c>
      <c r="G10">
        <v>72</v>
      </c>
      <c r="H10" t="s">
        <v>118</v>
      </c>
      <c r="K10" t="s">
        <v>119</v>
      </c>
    </row>
    <row r="11" spans="1:11" x14ac:dyDescent="0.2">
      <c r="A11" t="s">
        <v>120</v>
      </c>
      <c r="B11" t="s">
        <v>121</v>
      </c>
      <c r="C11" t="s">
        <v>87</v>
      </c>
      <c r="D11" t="s">
        <v>95</v>
      </c>
      <c r="F11" t="s">
        <v>122</v>
      </c>
      <c r="G11">
        <v>100098</v>
      </c>
      <c r="K11" t="s">
        <v>123</v>
      </c>
    </row>
    <row r="12" spans="1:11" x14ac:dyDescent="0.2">
      <c r="A12" t="s">
        <v>124</v>
      </c>
      <c r="B12" t="s">
        <v>125</v>
      </c>
      <c r="D12" t="s">
        <v>126</v>
      </c>
      <c r="F12" t="s">
        <v>127</v>
      </c>
      <c r="G12">
        <v>50189</v>
      </c>
      <c r="H12" t="s">
        <v>128</v>
      </c>
      <c r="J12" t="s">
        <v>129</v>
      </c>
    </row>
    <row r="13" spans="1:11" x14ac:dyDescent="0.2">
      <c r="A13" t="s">
        <v>130</v>
      </c>
      <c r="B13" t="s">
        <v>131</v>
      </c>
      <c r="D13" t="s">
        <v>132</v>
      </c>
      <c r="F13" t="s">
        <v>133</v>
      </c>
      <c r="G13">
        <v>86</v>
      </c>
      <c r="H13" t="s">
        <v>134</v>
      </c>
      <c r="J13" t="s">
        <v>135</v>
      </c>
      <c r="K13" t="s">
        <v>136</v>
      </c>
    </row>
    <row r="14" spans="1:11" x14ac:dyDescent="0.2">
      <c r="A14" t="s">
        <v>137</v>
      </c>
      <c r="B14" t="s">
        <v>138</v>
      </c>
      <c r="D14" t="s">
        <v>132</v>
      </c>
      <c r="F14" t="s">
        <v>139</v>
      </c>
      <c r="G14">
        <v>44</v>
      </c>
      <c r="H14" t="s">
        <v>140</v>
      </c>
      <c r="J14" t="s">
        <v>141</v>
      </c>
      <c r="K14" t="s">
        <v>142</v>
      </c>
    </row>
    <row r="15" spans="1:11" x14ac:dyDescent="0.2">
      <c r="A15" t="s">
        <v>143</v>
      </c>
      <c r="B15" t="s">
        <v>144</v>
      </c>
      <c r="D15" t="s">
        <v>95</v>
      </c>
      <c r="F15" t="s">
        <v>145</v>
      </c>
      <c r="G15">
        <v>64</v>
      </c>
      <c r="H15" t="s">
        <v>146</v>
      </c>
      <c r="J15" t="s">
        <v>147</v>
      </c>
      <c r="K15" t="s">
        <v>148</v>
      </c>
    </row>
    <row r="16" spans="1:11" x14ac:dyDescent="0.2">
      <c r="A16" t="s">
        <v>149</v>
      </c>
      <c r="B16" t="s">
        <v>150</v>
      </c>
      <c r="D16" t="s">
        <v>95</v>
      </c>
      <c r="F16" t="s">
        <v>151</v>
      </c>
      <c r="G16">
        <v>50353</v>
      </c>
      <c r="H16" t="s">
        <v>152</v>
      </c>
      <c r="J16" t="s">
        <v>153</v>
      </c>
      <c r="K16" t="s">
        <v>154</v>
      </c>
    </row>
    <row r="17" spans="1:11" x14ac:dyDescent="0.2">
      <c r="A17" t="s">
        <v>155</v>
      </c>
      <c r="B17" t="s">
        <v>156</v>
      </c>
      <c r="D17" t="s">
        <v>132</v>
      </c>
      <c r="F17" t="s">
        <v>157</v>
      </c>
      <c r="G17">
        <v>50332</v>
      </c>
      <c r="H17" t="s">
        <v>158</v>
      </c>
      <c r="J17" t="s">
        <v>159</v>
      </c>
      <c r="K17" t="s">
        <v>160</v>
      </c>
    </row>
    <row r="18" spans="1:11" x14ac:dyDescent="0.2">
      <c r="A18" t="s">
        <v>161</v>
      </c>
      <c r="B18" t="s">
        <v>162</v>
      </c>
      <c r="D18" t="s">
        <v>132</v>
      </c>
      <c r="F18" t="s">
        <v>163</v>
      </c>
      <c r="G18">
        <v>50315</v>
      </c>
      <c r="H18" t="s">
        <v>164</v>
      </c>
      <c r="J18" t="s">
        <v>91</v>
      </c>
      <c r="K18" t="s">
        <v>165</v>
      </c>
    </row>
    <row r="19" spans="1:11" x14ac:dyDescent="0.2">
      <c r="A19" t="s">
        <v>166</v>
      </c>
      <c r="B19" t="s">
        <v>167</v>
      </c>
      <c r="D19" t="s">
        <v>132</v>
      </c>
      <c r="F19" t="s">
        <v>168</v>
      </c>
      <c r="G19">
        <v>50352</v>
      </c>
      <c r="J19" t="s">
        <v>169</v>
      </c>
      <c r="K19" t="s">
        <v>170</v>
      </c>
    </row>
    <row r="20" spans="1:11" x14ac:dyDescent="0.2">
      <c r="A20" t="s">
        <v>171</v>
      </c>
      <c r="B20" t="s">
        <v>172</v>
      </c>
      <c r="D20" t="s">
        <v>132</v>
      </c>
      <c r="F20" t="s">
        <v>173</v>
      </c>
      <c r="G20">
        <v>50348</v>
      </c>
      <c r="H20" t="s">
        <v>174</v>
      </c>
      <c r="J20" t="s">
        <v>175</v>
      </c>
      <c r="K20" t="s">
        <v>176</v>
      </c>
    </row>
    <row r="21" spans="1:11" x14ac:dyDescent="0.2">
      <c r="A21" t="s">
        <v>177</v>
      </c>
      <c r="B21" t="s">
        <v>178</v>
      </c>
      <c r="C21" t="s">
        <v>87</v>
      </c>
      <c r="D21" t="s">
        <v>132</v>
      </c>
      <c r="F21" t="s">
        <v>179</v>
      </c>
      <c r="G21">
        <v>31</v>
      </c>
      <c r="H21" t="s">
        <v>180</v>
      </c>
      <c r="J21" t="s">
        <v>181</v>
      </c>
      <c r="K21" t="s">
        <v>182</v>
      </c>
    </row>
    <row r="22" spans="1:11" x14ac:dyDescent="0.2">
      <c r="A22" t="s">
        <v>183</v>
      </c>
      <c r="B22" t="s">
        <v>184</v>
      </c>
      <c r="D22" t="s">
        <v>132</v>
      </c>
      <c r="F22" t="s">
        <v>185</v>
      </c>
      <c r="G22">
        <v>50287</v>
      </c>
      <c r="H22" t="s">
        <v>186</v>
      </c>
      <c r="J22" t="s">
        <v>187</v>
      </c>
      <c r="K22" t="s">
        <v>188</v>
      </c>
    </row>
    <row r="23" spans="1:11" x14ac:dyDescent="0.2">
      <c r="A23" t="s">
        <v>189</v>
      </c>
      <c r="B23" t="s">
        <v>190</v>
      </c>
      <c r="D23" t="s">
        <v>132</v>
      </c>
      <c r="F23" t="s">
        <v>191</v>
      </c>
      <c r="G23">
        <v>50157</v>
      </c>
      <c r="H23" t="s">
        <v>192</v>
      </c>
      <c r="J23" t="s">
        <v>193</v>
      </c>
      <c r="K23" t="s">
        <v>194</v>
      </c>
    </row>
    <row r="24" spans="1:11" x14ac:dyDescent="0.2">
      <c r="A24" t="s">
        <v>195</v>
      </c>
      <c r="B24" t="s">
        <v>196</v>
      </c>
      <c r="D24" t="s">
        <v>132</v>
      </c>
      <c r="F24" t="s">
        <v>197</v>
      </c>
      <c r="G24">
        <v>50299</v>
      </c>
      <c r="H24" t="s">
        <v>198</v>
      </c>
      <c r="J24" t="s">
        <v>199</v>
      </c>
      <c r="K24" t="s">
        <v>200</v>
      </c>
    </row>
    <row r="25" spans="1:11" x14ac:dyDescent="0.2">
      <c r="A25" t="s">
        <v>201</v>
      </c>
      <c r="B25" t="s">
        <v>202</v>
      </c>
      <c r="D25" t="s">
        <v>132</v>
      </c>
      <c r="F25" t="s">
        <v>203</v>
      </c>
      <c r="G25">
        <v>50008</v>
      </c>
      <c r="H25" t="s">
        <v>204</v>
      </c>
      <c r="J25" t="s">
        <v>205</v>
      </c>
      <c r="K25" t="s">
        <v>206</v>
      </c>
    </row>
    <row r="26" spans="1:11" x14ac:dyDescent="0.2">
      <c r="A26" t="s">
        <v>207</v>
      </c>
      <c r="B26" t="s">
        <v>208</v>
      </c>
      <c r="D26" t="s">
        <v>132</v>
      </c>
      <c r="F26" t="s">
        <v>209</v>
      </c>
      <c r="G26">
        <v>50175</v>
      </c>
      <c r="H26" t="s">
        <v>210</v>
      </c>
      <c r="J26" t="s">
        <v>211</v>
      </c>
      <c r="K26" t="s">
        <v>212</v>
      </c>
    </row>
    <row r="27" spans="1:11" x14ac:dyDescent="0.2">
      <c r="A27" t="s">
        <v>213</v>
      </c>
      <c r="B27" t="s">
        <v>214</v>
      </c>
      <c r="D27" t="s">
        <v>95</v>
      </c>
      <c r="F27" t="s">
        <v>215</v>
      </c>
      <c r="G27">
        <v>50169</v>
      </c>
      <c r="H27" t="s">
        <v>216</v>
      </c>
      <c r="J27" t="s">
        <v>217</v>
      </c>
      <c r="K27" t="s">
        <v>218</v>
      </c>
    </row>
    <row r="28" spans="1:11" x14ac:dyDescent="0.2">
      <c r="A28" t="s">
        <v>219</v>
      </c>
      <c r="B28" t="s">
        <v>220</v>
      </c>
      <c r="D28" t="s">
        <v>132</v>
      </c>
      <c r="F28" t="s">
        <v>221</v>
      </c>
      <c r="G28">
        <v>100265</v>
      </c>
      <c r="H28" t="s">
        <v>222</v>
      </c>
      <c r="J28" t="s">
        <v>223</v>
      </c>
      <c r="K28" t="s">
        <v>224</v>
      </c>
    </row>
    <row r="29" spans="1:11" x14ac:dyDescent="0.2">
      <c r="A29" t="s">
        <v>225</v>
      </c>
      <c r="B29" t="s">
        <v>226</v>
      </c>
      <c r="D29" t="s">
        <v>132</v>
      </c>
      <c r="F29" t="s">
        <v>227</v>
      </c>
      <c r="G29">
        <v>50254</v>
      </c>
      <c r="H29" t="s">
        <v>228</v>
      </c>
      <c r="J29" t="s">
        <v>135</v>
      </c>
      <c r="K29" t="s">
        <v>229</v>
      </c>
    </row>
    <row r="30" spans="1:11" x14ac:dyDescent="0.2">
      <c r="A30" t="s">
        <v>230</v>
      </c>
      <c r="B30" t="s">
        <v>231</v>
      </c>
      <c r="D30" t="s">
        <v>132</v>
      </c>
      <c r="F30" t="s">
        <v>232</v>
      </c>
      <c r="G30">
        <v>50330</v>
      </c>
      <c r="H30" t="s">
        <v>233</v>
      </c>
      <c r="J30" t="s">
        <v>234</v>
      </c>
      <c r="K30" t="s">
        <v>235</v>
      </c>
    </row>
    <row r="31" spans="1:11" x14ac:dyDescent="0.2">
      <c r="A31" t="s">
        <v>236</v>
      </c>
      <c r="B31" t="s">
        <v>237</v>
      </c>
      <c r="D31" t="s">
        <v>132</v>
      </c>
      <c r="F31" t="s">
        <v>238</v>
      </c>
      <c r="G31">
        <v>50101</v>
      </c>
      <c r="H31" t="s">
        <v>239</v>
      </c>
      <c r="J31" t="s">
        <v>240</v>
      </c>
    </row>
    <row r="32" spans="1:11" x14ac:dyDescent="0.2">
      <c r="A32" t="s">
        <v>241</v>
      </c>
      <c r="B32" t="s">
        <v>242</v>
      </c>
      <c r="D32" t="s">
        <v>132</v>
      </c>
      <c r="F32" t="s">
        <v>243</v>
      </c>
      <c r="G32">
        <v>38</v>
      </c>
      <c r="H32" t="s">
        <v>244</v>
      </c>
      <c r="J32" t="s">
        <v>245</v>
      </c>
      <c r="K32" t="s">
        <v>246</v>
      </c>
    </row>
    <row r="33" spans="1:11" x14ac:dyDescent="0.2">
      <c r="A33" t="s">
        <v>247</v>
      </c>
      <c r="B33" t="s">
        <v>248</v>
      </c>
      <c r="D33" t="s">
        <v>132</v>
      </c>
      <c r="F33" t="s">
        <v>249</v>
      </c>
      <c r="G33">
        <v>50401</v>
      </c>
      <c r="H33" t="s">
        <v>250</v>
      </c>
      <c r="J33" t="s">
        <v>251</v>
      </c>
      <c r="K33" t="s">
        <v>252</v>
      </c>
    </row>
    <row r="34" spans="1:11" x14ac:dyDescent="0.2">
      <c r="A34" t="s">
        <v>253</v>
      </c>
      <c r="B34" t="s">
        <v>254</v>
      </c>
      <c r="D34" t="s">
        <v>132</v>
      </c>
      <c r="F34" t="s">
        <v>255</v>
      </c>
      <c r="G34">
        <v>50302</v>
      </c>
      <c r="H34" t="s">
        <v>256</v>
      </c>
      <c r="J34" t="s">
        <v>257</v>
      </c>
      <c r="K34" t="s">
        <v>218</v>
      </c>
    </row>
    <row r="35" spans="1:11" x14ac:dyDescent="0.2">
      <c r="A35" t="s">
        <v>258</v>
      </c>
      <c r="B35" t="s">
        <v>259</v>
      </c>
      <c r="D35" t="s">
        <v>132</v>
      </c>
      <c r="F35" t="s">
        <v>260</v>
      </c>
      <c r="G35">
        <v>50419</v>
      </c>
      <c r="H35" t="s">
        <v>261</v>
      </c>
      <c r="J35" t="s">
        <v>262</v>
      </c>
      <c r="K35" t="s">
        <v>263</v>
      </c>
    </row>
    <row r="36" spans="1:11" x14ac:dyDescent="0.2">
      <c r="A36" t="s">
        <v>264</v>
      </c>
      <c r="B36" t="s">
        <v>265</v>
      </c>
      <c r="D36" t="s">
        <v>132</v>
      </c>
      <c r="F36" t="s">
        <v>266</v>
      </c>
      <c r="G36">
        <v>50257</v>
      </c>
      <c r="H36" t="s">
        <v>267</v>
      </c>
      <c r="J36" t="s">
        <v>268</v>
      </c>
      <c r="K36" t="s">
        <v>269</v>
      </c>
    </row>
    <row r="37" spans="1:11" x14ac:dyDescent="0.2">
      <c r="A37" t="s">
        <v>270</v>
      </c>
      <c r="B37" t="s">
        <v>271</v>
      </c>
      <c r="D37" t="s">
        <v>95</v>
      </c>
      <c r="F37" t="s">
        <v>272</v>
      </c>
      <c r="G37">
        <v>2</v>
      </c>
      <c r="H37" t="s">
        <v>273</v>
      </c>
      <c r="J37" t="s">
        <v>274</v>
      </c>
      <c r="K37" t="s">
        <v>275</v>
      </c>
    </row>
    <row r="38" spans="1:11" x14ac:dyDescent="0.2">
      <c r="A38" t="s">
        <v>276</v>
      </c>
      <c r="B38" t="s">
        <v>277</v>
      </c>
      <c r="D38" t="s">
        <v>132</v>
      </c>
      <c r="F38" t="s">
        <v>278</v>
      </c>
      <c r="G38">
        <v>58</v>
      </c>
      <c r="H38" t="s">
        <v>279</v>
      </c>
      <c r="J38" t="s">
        <v>280</v>
      </c>
      <c r="K38" t="s">
        <v>281</v>
      </c>
    </row>
    <row r="39" spans="1:11" x14ac:dyDescent="0.2">
      <c r="A39" t="s">
        <v>282</v>
      </c>
      <c r="B39" t="s">
        <v>283</v>
      </c>
      <c r="C39" t="s">
        <v>284</v>
      </c>
      <c r="D39" t="s">
        <v>285</v>
      </c>
      <c r="F39" t="s">
        <v>286</v>
      </c>
      <c r="G39">
        <v>100191</v>
      </c>
      <c r="H39" t="s">
        <v>287</v>
      </c>
      <c r="J39" t="s">
        <v>288</v>
      </c>
      <c r="K39" t="s">
        <v>289</v>
      </c>
    </row>
    <row r="40" spans="1:11" x14ac:dyDescent="0.2">
      <c r="A40" t="s">
        <v>290</v>
      </c>
      <c r="B40" t="s">
        <v>291</v>
      </c>
      <c r="C40" t="s">
        <v>292</v>
      </c>
      <c r="D40" t="s">
        <v>110</v>
      </c>
      <c r="F40" t="s">
        <v>293</v>
      </c>
      <c r="G40">
        <v>100178</v>
      </c>
      <c r="H40" t="s">
        <v>294</v>
      </c>
      <c r="J40" t="s">
        <v>110</v>
      </c>
      <c r="K40" t="s">
        <v>295</v>
      </c>
    </row>
    <row r="41" spans="1:11" x14ac:dyDescent="0.2">
      <c r="A41" t="s">
        <v>296</v>
      </c>
      <c r="B41" t="s">
        <v>297</v>
      </c>
      <c r="C41" t="s">
        <v>298</v>
      </c>
      <c r="D41" t="s">
        <v>299</v>
      </c>
      <c r="F41" t="s">
        <v>300</v>
      </c>
      <c r="G41">
        <v>50446</v>
      </c>
      <c r="H41" t="s">
        <v>301</v>
      </c>
      <c r="J41" t="s">
        <v>153</v>
      </c>
      <c r="K41" t="s">
        <v>302</v>
      </c>
    </row>
    <row r="42" spans="1:11" x14ac:dyDescent="0.2">
      <c r="A42" t="s">
        <v>303</v>
      </c>
      <c r="B42" t="s">
        <v>304</v>
      </c>
      <c r="C42" t="s">
        <v>305</v>
      </c>
      <c r="D42" t="s">
        <v>306</v>
      </c>
      <c r="F42" t="s">
        <v>307</v>
      </c>
      <c r="G42">
        <v>100243</v>
      </c>
      <c r="H42" t="s">
        <v>308</v>
      </c>
      <c r="J42" t="s">
        <v>309</v>
      </c>
      <c r="K42" t="s">
        <v>310</v>
      </c>
    </row>
    <row r="43" spans="1:11" x14ac:dyDescent="0.2">
      <c r="A43" t="s">
        <v>311</v>
      </c>
      <c r="B43" t="s">
        <v>312</v>
      </c>
      <c r="C43" t="s">
        <v>313</v>
      </c>
      <c r="D43" t="s">
        <v>306</v>
      </c>
      <c r="F43" t="s">
        <v>314</v>
      </c>
      <c r="G43">
        <v>100203</v>
      </c>
      <c r="H43" t="s">
        <v>315</v>
      </c>
      <c r="J43" t="s">
        <v>316</v>
      </c>
      <c r="K43" t="s">
        <v>317</v>
      </c>
    </row>
    <row r="44" spans="1:11" x14ac:dyDescent="0.2">
      <c r="A44" t="s">
        <v>318</v>
      </c>
      <c r="B44" t="s">
        <v>319</v>
      </c>
      <c r="C44" t="s">
        <v>87</v>
      </c>
      <c r="D44" t="s">
        <v>95</v>
      </c>
      <c r="F44" t="s">
        <v>320</v>
      </c>
      <c r="G44">
        <v>100206</v>
      </c>
      <c r="H44" t="s">
        <v>321</v>
      </c>
      <c r="J44" t="s">
        <v>322</v>
      </c>
      <c r="K44" t="s">
        <v>323</v>
      </c>
    </row>
    <row r="45" spans="1:11" x14ac:dyDescent="0.2">
      <c r="A45" t="s">
        <v>324</v>
      </c>
      <c r="B45" t="s">
        <v>325</v>
      </c>
      <c r="D45" t="s">
        <v>326</v>
      </c>
      <c r="F45" t="s">
        <v>327</v>
      </c>
      <c r="G45">
        <v>50151</v>
      </c>
      <c r="H45" t="s">
        <v>328</v>
      </c>
      <c r="J45" t="s">
        <v>199</v>
      </c>
      <c r="K45" t="s">
        <v>329</v>
      </c>
    </row>
    <row r="46" spans="1:11" x14ac:dyDescent="0.2">
      <c r="A46" t="s">
        <v>330</v>
      </c>
      <c r="B46" t="s">
        <v>331</v>
      </c>
      <c r="C46" t="s">
        <v>332</v>
      </c>
      <c r="D46" t="s">
        <v>110</v>
      </c>
      <c r="F46" t="s">
        <v>333</v>
      </c>
      <c r="G46">
        <v>50221</v>
      </c>
      <c r="H46" t="s">
        <v>334</v>
      </c>
      <c r="J46" t="s">
        <v>335</v>
      </c>
      <c r="K46" t="s">
        <v>336</v>
      </c>
    </row>
    <row r="47" spans="1:11" x14ac:dyDescent="0.2">
      <c r="A47" t="s">
        <v>337</v>
      </c>
      <c r="B47" t="s">
        <v>338</v>
      </c>
      <c r="C47" t="s">
        <v>87</v>
      </c>
      <c r="D47" t="s">
        <v>95</v>
      </c>
      <c r="F47" t="s">
        <v>339</v>
      </c>
      <c r="G47">
        <v>63</v>
      </c>
      <c r="H47" t="s">
        <v>340</v>
      </c>
      <c r="J47" t="s">
        <v>341</v>
      </c>
      <c r="K47" t="s">
        <v>342</v>
      </c>
    </row>
    <row r="48" spans="1:11" x14ac:dyDescent="0.2">
      <c r="A48" t="s">
        <v>343</v>
      </c>
      <c r="B48" t="s">
        <v>344</v>
      </c>
      <c r="C48" t="s">
        <v>345</v>
      </c>
      <c r="D48" t="s">
        <v>346</v>
      </c>
      <c r="F48" t="s">
        <v>347</v>
      </c>
      <c r="G48">
        <v>91</v>
      </c>
    </row>
    <row r="49" spans="1:11" x14ac:dyDescent="0.2">
      <c r="A49" t="s">
        <v>348</v>
      </c>
      <c r="B49" t="s">
        <v>349</v>
      </c>
      <c r="C49" t="s">
        <v>350</v>
      </c>
      <c r="D49" t="s">
        <v>351</v>
      </c>
      <c r="F49" t="s">
        <v>352</v>
      </c>
      <c r="G49">
        <v>50246</v>
      </c>
      <c r="K49" t="s">
        <v>353</v>
      </c>
    </row>
    <row r="50" spans="1:11" x14ac:dyDescent="0.2">
      <c r="A50" t="s">
        <v>354</v>
      </c>
      <c r="B50" t="s">
        <v>355</v>
      </c>
      <c r="C50" t="s">
        <v>356</v>
      </c>
      <c r="D50" t="s">
        <v>357</v>
      </c>
      <c r="F50" t="s">
        <v>358</v>
      </c>
      <c r="G50">
        <v>50361</v>
      </c>
      <c r="K50" t="s">
        <v>359</v>
      </c>
    </row>
    <row r="51" spans="1:11" x14ac:dyDescent="0.2">
      <c r="A51" t="s">
        <v>360</v>
      </c>
      <c r="B51" t="s">
        <v>361</v>
      </c>
      <c r="C51" t="s">
        <v>362</v>
      </c>
      <c r="D51" t="s">
        <v>363</v>
      </c>
      <c r="F51" t="s">
        <v>364</v>
      </c>
      <c r="G51">
        <v>50167</v>
      </c>
      <c r="H51" t="s">
        <v>365</v>
      </c>
      <c r="J51" t="s">
        <v>262</v>
      </c>
      <c r="K51" t="s">
        <v>366</v>
      </c>
    </row>
    <row r="52" spans="1:11" x14ac:dyDescent="0.2">
      <c r="A52" t="s">
        <v>367</v>
      </c>
      <c r="B52" t="s">
        <v>368</v>
      </c>
      <c r="C52" t="s">
        <v>369</v>
      </c>
      <c r="D52" t="s">
        <v>370</v>
      </c>
      <c r="F52" t="s">
        <v>371</v>
      </c>
      <c r="G52">
        <v>50143</v>
      </c>
      <c r="H52" t="s">
        <v>372</v>
      </c>
      <c r="J52" t="s">
        <v>373</v>
      </c>
      <c r="K52" t="s">
        <v>374</v>
      </c>
    </row>
    <row r="53" spans="1:11" x14ac:dyDescent="0.2">
      <c r="A53" t="s">
        <v>375</v>
      </c>
      <c r="B53" t="s">
        <v>376</v>
      </c>
      <c r="C53" t="s">
        <v>377</v>
      </c>
      <c r="D53" t="s">
        <v>378</v>
      </c>
      <c r="F53" t="s">
        <v>379</v>
      </c>
      <c r="G53">
        <v>50172</v>
      </c>
      <c r="H53" t="s">
        <v>380</v>
      </c>
      <c r="J53" t="s">
        <v>381</v>
      </c>
      <c r="K53" t="s">
        <v>382</v>
      </c>
    </row>
    <row r="54" spans="1:11" x14ac:dyDescent="0.2">
      <c r="A54" t="s">
        <v>383</v>
      </c>
      <c r="B54" t="s">
        <v>384</v>
      </c>
      <c r="C54" t="s">
        <v>385</v>
      </c>
      <c r="D54" t="s">
        <v>299</v>
      </c>
      <c r="F54" t="s">
        <v>386</v>
      </c>
      <c r="G54">
        <v>50282</v>
      </c>
      <c r="H54" t="s">
        <v>387</v>
      </c>
      <c r="J54" t="s">
        <v>388</v>
      </c>
      <c r="K54" t="s">
        <v>389</v>
      </c>
    </row>
    <row r="55" spans="1:11" x14ac:dyDescent="0.2">
      <c r="A55" t="s">
        <v>390</v>
      </c>
      <c r="B55" t="s">
        <v>391</v>
      </c>
      <c r="C55" t="s">
        <v>392</v>
      </c>
      <c r="D55" t="s">
        <v>393</v>
      </c>
      <c r="F55" t="s">
        <v>394</v>
      </c>
      <c r="G55">
        <v>50019</v>
      </c>
      <c r="H55" t="s">
        <v>395</v>
      </c>
      <c r="J55" t="s">
        <v>396</v>
      </c>
    </row>
    <row r="56" spans="1:11" x14ac:dyDescent="0.2">
      <c r="A56" t="s">
        <v>397</v>
      </c>
      <c r="B56" t="s">
        <v>398</v>
      </c>
      <c r="C56" t="s">
        <v>399</v>
      </c>
      <c r="D56" t="s">
        <v>393</v>
      </c>
      <c r="F56" t="s">
        <v>400</v>
      </c>
      <c r="G56">
        <v>50201</v>
      </c>
      <c r="H56" t="s">
        <v>401</v>
      </c>
      <c r="J56" t="s">
        <v>402</v>
      </c>
      <c r="K56" t="s">
        <v>403</v>
      </c>
    </row>
    <row r="57" spans="1:11" x14ac:dyDescent="0.2">
      <c r="A57" t="s">
        <v>404</v>
      </c>
      <c r="B57" t="s">
        <v>405</v>
      </c>
      <c r="D57" t="s">
        <v>406</v>
      </c>
      <c r="F57" t="s">
        <v>407</v>
      </c>
      <c r="G57">
        <v>56</v>
      </c>
      <c r="H57" t="s">
        <v>408</v>
      </c>
      <c r="J57" t="s">
        <v>409</v>
      </c>
      <c r="K57" t="s">
        <v>410</v>
      </c>
    </row>
    <row r="58" spans="1:11" x14ac:dyDescent="0.2">
      <c r="A58" t="s">
        <v>411</v>
      </c>
      <c r="B58" t="s">
        <v>412</v>
      </c>
      <c r="D58" t="s">
        <v>406</v>
      </c>
      <c r="F58" t="s">
        <v>413</v>
      </c>
      <c r="G58">
        <v>48</v>
      </c>
      <c r="H58" t="s">
        <v>414</v>
      </c>
      <c r="J58" t="s">
        <v>415</v>
      </c>
      <c r="K58" t="s">
        <v>416</v>
      </c>
    </row>
    <row r="59" spans="1:11" x14ac:dyDescent="0.2">
      <c r="A59" t="s">
        <v>417</v>
      </c>
      <c r="B59" t="s">
        <v>418</v>
      </c>
      <c r="C59" t="s">
        <v>298</v>
      </c>
      <c r="D59" t="s">
        <v>299</v>
      </c>
      <c r="F59" t="s">
        <v>419</v>
      </c>
      <c r="G59">
        <v>50294</v>
      </c>
      <c r="H59" t="s">
        <v>420</v>
      </c>
      <c r="J59" t="s">
        <v>421</v>
      </c>
      <c r="K59" t="s">
        <v>422</v>
      </c>
    </row>
    <row r="60" spans="1:11" x14ac:dyDescent="0.2">
      <c r="A60" t="s">
        <v>423</v>
      </c>
      <c r="B60" t="s">
        <v>424</v>
      </c>
      <c r="C60" t="s">
        <v>425</v>
      </c>
      <c r="D60" t="s">
        <v>299</v>
      </c>
      <c r="F60" t="s">
        <v>426</v>
      </c>
      <c r="G60">
        <v>50214</v>
      </c>
      <c r="H60" t="s">
        <v>427</v>
      </c>
      <c r="J60" t="s">
        <v>135</v>
      </c>
      <c r="K60" t="s">
        <v>428</v>
      </c>
    </row>
    <row r="61" spans="1:11" x14ac:dyDescent="0.2">
      <c r="A61" t="s">
        <v>429</v>
      </c>
      <c r="B61" t="s">
        <v>430</v>
      </c>
      <c r="C61" t="s">
        <v>431</v>
      </c>
      <c r="D61" t="s">
        <v>432</v>
      </c>
      <c r="F61" t="s">
        <v>433</v>
      </c>
      <c r="G61">
        <v>100213</v>
      </c>
      <c r="H61" t="s">
        <v>434</v>
      </c>
      <c r="J61" t="s">
        <v>435</v>
      </c>
      <c r="K61" t="s">
        <v>436</v>
      </c>
    </row>
    <row r="62" spans="1:11" x14ac:dyDescent="0.2">
      <c r="A62" t="s">
        <v>437</v>
      </c>
      <c r="B62" t="s">
        <v>438</v>
      </c>
      <c r="C62" t="s">
        <v>439</v>
      </c>
      <c r="D62" t="s">
        <v>440</v>
      </c>
      <c r="F62" t="s">
        <v>441</v>
      </c>
      <c r="G62">
        <v>50427</v>
      </c>
      <c r="H62" t="s">
        <v>442</v>
      </c>
      <c r="J62" t="s">
        <v>443</v>
      </c>
      <c r="K62" t="s">
        <v>444</v>
      </c>
    </row>
    <row r="63" spans="1:11" x14ac:dyDescent="0.2">
      <c r="A63" t="s">
        <v>445</v>
      </c>
      <c r="B63" t="s">
        <v>446</v>
      </c>
      <c r="D63" t="s">
        <v>447</v>
      </c>
      <c r="F63" t="s">
        <v>448</v>
      </c>
      <c r="G63">
        <v>50231</v>
      </c>
      <c r="H63" t="s">
        <v>449</v>
      </c>
      <c r="J63" t="s">
        <v>450</v>
      </c>
      <c r="K63" t="s">
        <v>451</v>
      </c>
    </row>
    <row r="64" spans="1:11" x14ac:dyDescent="0.2">
      <c r="A64" t="s">
        <v>452</v>
      </c>
      <c r="B64" t="s">
        <v>453</v>
      </c>
      <c r="D64" t="s">
        <v>454</v>
      </c>
      <c r="F64" t="s">
        <v>455</v>
      </c>
      <c r="G64">
        <v>50230</v>
      </c>
      <c r="H64" t="s">
        <v>456</v>
      </c>
      <c r="J64" t="s">
        <v>450</v>
      </c>
    </row>
    <row r="65" spans="1:11" x14ac:dyDescent="0.2">
      <c r="A65" t="s">
        <v>457</v>
      </c>
      <c r="B65" t="s">
        <v>458</v>
      </c>
      <c r="D65" t="s">
        <v>454</v>
      </c>
      <c r="F65" t="s">
        <v>459</v>
      </c>
      <c r="G65">
        <v>50263</v>
      </c>
      <c r="H65" t="s">
        <v>460</v>
      </c>
      <c r="J65" t="s">
        <v>159</v>
      </c>
      <c r="K65" t="s">
        <v>461</v>
      </c>
    </row>
    <row r="66" spans="1:11" x14ac:dyDescent="0.2">
      <c r="A66" t="s">
        <v>462</v>
      </c>
      <c r="B66" t="s">
        <v>463</v>
      </c>
      <c r="D66" t="s">
        <v>306</v>
      </c>
      <c r="F66" t="s">
        <v>464</v>
      </c>
      <c r="G66">
        <v>50300</v>
      </c>
      <c r="H66" t="s">
        <v>465</v>
      </c>
      <c r="J66" t="s">
        <v>466</v>
      </c>
      <c r="K66" t="s">
        <v>467</v>
      </c>
    </row>
    <row r="67" spans="1:11" x14ac:dyDescent="0.2">
      <c r="A67" t="s">
        <v>468</v>
      </c>
      <c r="B67" t="s">
        <v>469</v>
      </c>
      <c r="C67" t="s">
        <v>431</v>
      </c>
      <c r="D67" t="s">
        <v>432</v>
      </c>
      <c r="F67" t="s">
        <v>470</v>
      </c>
      <c r="G67">
        <v>50247</v>
      </c>
      <c r="H67" t="s">
        <v>465</v>
      </c>
      <c r="J67" t="s">
        <v>466</v>
      </c>
      <c r="K67" t="s">
        <v>471</v>
      </c>
    </row>
    <row r="68" spans="1:11" x14ac:dyDescent="0.2">
      <c r="A68" t="s">
        <v>472</v>
      </c>
      <c r="B68" t="s">
        <v>473</v>
      </c>
      <c r="C68" t="s">
        <v>474</v>
      </c>
      <c r="D68" t="s">
        <v>110</v>
      </c>
      <c r="F68" t="s">
        <v>475</v>
      </c>
      <c r="G68">
        <v>50203</v>
      </c>
      <c r="H68" t="s">
        <v>476</v>
      </c>
      <c r="J68" t="s">
        <v>370</v>
      </c>
      <c r="K68" t="s">
        <v>477</v>
      </c>
    </row>
    <row r="69" spans="1:11" x14ac:dyDescent="0.2">
      <c r="A69" t="s">
        <v>478</v>
      </c>
      <c r="B69" t="s">
        <v>479</v>
      </c>
      <c r="C69" t="s">
        <v>284</v>
      </c>
      <c r="D69" t="s">
        <v>285</v>
      </c>
      <c r="F69" t="s">
        <v>480</v>
      </c>
      <c r="G69">
        <v>50208</v>
      </c>
      <c r="H69" t="s">
        <v>481</v>
      </c>
      <c r="J69" t="s">
        <v>482</v>
      </c>
      <c r="K69" t="s">
        <v>483</v>
      </c>
    </row>
    <row r="70" spans="1:11" x14ac:dyDescent="0.2">
      <c r="A70" t="s">
        <v>484</v>
      </c>
      <c r="B70" t="s">
        <v>485</v>
      </c>
      <c r="C70" t="s">
        <v>486</v>
      </c>
      <c r="D70" t="s">
        <v>487</v>
      </c>
      <c r="F70" t="s">
        <v>488</v>
      </c>
      <c r="G70">
        <v>50225</v>
      </c>
      <c r="H70" t="s">
        <v>489</v>
      </c>
      <c r="J70" t="s">
        <v>490</v>
      </c>
      <c r="K70" t="s">
        <v>491</v>
      </c>
    </row>
    <row r="71" spans="1:11" x14ac:dyDescent="0.2">
      <c r="A71" t="s">
        <v>492</v>
      </c>
      <c r="B71" t="s">
        <v>493</v>
      </c>
      <c r="C71" t="s">
        <v>494</v>
      </c>
      <c r="D71" t="s">
        <v>432</v>
      </c>
      <c r="F71" t="s">
        <v>495</v>
      </c>
      <c r="G71">
        <v>50226</v>
      </c>
      <c r="H71" t="s">
        <v>496</v>
      </c>
      <c r="J71" t="s">
        <v>393</v>
      </c>
      <c r="K71" t="s">
        <v>497</v>
      </c>
    </row>
    <row r="72" spans="1:11" x14ac:dyDescent="0.2">
      <c r="A72" t="s">
        <v>498</v>
      </c>
      <c r="B72" t="s">
        <v>499</v>
      </c>
      <c r="C72" t="s">
        <v>500</v>
      </c>
      <c r="D72" t="s">
        <v>299</v>
      </c>
      <c r="F72" t="s">
        <v>501</v>
      </c>
      <c r="G72">
        <v>50237</v>
      </c>
      <c r="H72" t="s">
        <v>502</v>
      </c>
      <c r="J72" t="s">
        <v>503</v>
      </c>
      <c r="K72" t="s">
        <v>504</v>
      </c>
    </row>
    <row r="73" spans="1:11" x14ac:dyDescent="0.2">
      <c r="A73" t="s">
        <v>505</v>
      </c>
      <c r="B73" t="s">
        <v>506</v>
      </c>
      <c r="D73" t="s">
        <v>507</v>
      </c>
      <c r="F73" t="s">
        <v>508</v>
      </c>
      <c r="G73">
        <v>50243</v>
      </c>
      <c r="H73" t="s">
        <v>509</v>
      </c>
      <c r="J73" t="s">
        <v>510</v>
      </c>
      <c r="K73" t="s">
        <v>511</v>
      </c>
    </row>
    <row r="74" spans="1:11" x14ac:dyDescent="0.2">
      <c r="A74" t="s">
        <v>512</v>
      </c>
      <c r="B74" t="s">
        <v>513</v>
      </c>
      <c r="C74" t="s">
        <v>431</v>
      </c>
      <c r="D74" t="s">
        <v>432</v>
      </c>
      <c r="F74" t="s">
        <v>514</v>
      </c>
      <c r="G74">
        <v>50211</v>
      </c>
      <c r="H74" t="s">
        <v>515</v>
      </c>
      <c r="J74" t="s">
        <v>516</v>
      </c>
      <c r="K74" t="s">
        <v>517</v>
      </c>
    </row>
    <row r="75" spans="1:11" x14ac:dyDescent="0.2">
      <c r="A75" t="s">
        <v>518</v>
      </c>
      <c r="B75" t="s">
        <v>519</v>
      </c>
      <c r="C75" t="s">
        <v>520</v>
      </c>
      <c r="D75" t="s">
        <v>521</v>
      </c>
      <c r="F75" t="s">
        <v>522</v>
      </c>
      <c r="G75">
        <v>50242</v>
      </c>
      <c r="H75" t="s">
        <v>523</v>
      </c>
      <c r="J75" t="s">
        <v>524</v>
      </c>
      <c r="K75" t="s">
        <v>525</v>
      </c>
    </row>
    <row r="76" spans="1:11" x14ac:dyDescent="0.2">
      <c r="A76" t="s">
        <v>526</v>
      </c>
      <c r="B76" t="s">
        <v>527</v>
      </c>
      <c r="C76" t="s">
        <v>431</v>
      </c>
      <c r="D76" t="s">
        <v>432</v>
      </c>
      <c r="F76" t="s">
        <v>528</v>
      </c>
      <c r="G76">
        <v>50209</v>
      </c>
      <c r="H76" t="s">
        <v>529</v>
      </c>
      <c r="J76" t="s">
        <v>530</v>
      </c>
      <c r="K76" t="s">
        <v>531</v>
      </c>
    </row>
    <row r="77" spans="1:11" x14ac:dyDescent="0.2">
      <c r="A77" t="s">
        <v>532</v>
      </c>
      <c r="B77" t="s">
        <v>533</v>
      </c>
      <c r="C77" t="s">
        <v>313</v>
      </c>
      <c r="D77" t="s">
        <v>306</v>
      </c>
      <c r="F77" t="s">
        <v>534</v>
      </c>
      <c r="G77">
        <v>50273</v>
      </c>
      <c r="H77" t="s">
        <v>535</v>
      </c>
      <c r="J77" t="s">
        <v>536</v>
      </c>
      <c r="K77" t="s">
        <v>537</v>
      </c>
    </row>
    <row r="78" spans="1:11" x14ac:dyDescent="0.2">
      <c r="A78" t="s">
        <v>538</v>
      </c>
      <c r="B78" t="s">
        <v>539</v>
      </c>
      <c r="C78" t="s">
        <v>540</v>
      </c>
      <c r="D78" t="s">
        <v>262</v>
      </c>
      <c r="F78" t="s">
        <v>541</v>
      </c>
      <c r="G78">
        <v>34</v>
      </c>
      <c r="H78" t="s">
        <v>542</v>
      </c>
      <c r="J78" t="s">
        <v>68</v>
      </c>
      <c r="K78" t="s">
        <v>543</v>
      </c>
    </row>
    <row r="79" spans="1:11" x14ac:dyDescent="0.2">
      <c r="A79" t="s">
        <v>544</v>
      </c>
      <c r="B79" t="s">
        <v>545</v>
      </c>
      <c r="C79" t="s">
        <v>546</v>
      </c>
      <c r="D79" t="s">
        <v>110</v>
      </c>
      <c r="F79" t="s">
        <v>547</v>
      </c>
      <c r="G79">
        <v>100233</v>
      </c>
      <c r="H79" t="s">
        <v>548</v>
      </c>
      <c r="J79" t="s">
        <v>549</v>
      </c>
      <c r="K79" t="s">
        <v>550</v>
      </c>
    </row>
    <row r="80" spans="1:11" x14ac:dyDescent="0.2">
      <c r="A80" t="s">
        <v>551</v>
      </c>
      <c r="B80" t="s">
        <v>552</v>
      </c>
      <c r="C80" t="s">
        <v>553</v>
      </c>
      <c r="D80" t="s">
        <v>554</v>
      </c>
      <c r="F80" t="s">
        <v>555</v>
      </c>
      <c r="G80">
        <v>50375</v>
      </c>
    </row>
    <row r="81" spans="1:11" x14ac:dyDescent="0.2">
      <c r="A81" t="s">
        <v>556</v>
      </c>
      <c r="B81" t="s">
        <v>557</v>
      </c>
      <c r="C81" t="s">
        <v>558</v>
      </c>
      <c r="D81" t="s">
        <v>559</v>
      </c>
      <c r="F81" t="s">
        <v>560</v>
      </c>
      <c r="G81">
        <v>50431</v>
      </c>
      <c r="H81" t="s">
        <v>561</v>
      </c>
      <c r="J81" t="s">
        <v>562</v>
      </c>
      <c r="K81" t="s">
        <v>563</v>
      </c>
    </row>
    <row r="82" spans="1:11" x14ac:dyDescent="0.2">
      <c r="A82" t="s">
        <v>564</v>
      </c>
      <c r="B82" t="s">
        <v>565</v>
      </c>
      <c r="D82" t="s">
        <v>566</v>
      </c>
      <c r="F82" t="s">
        <v>567</v>
      </c>
      <c r="G82">
        <v>100135</v>
      </c>
      <c r="H82" t="s">
        <v>568</v>
      </c>
      <c r="J82" t="s">
        <v>299</v>
      </c>
      <c r="K82" t="s">
        <v>569</v>
      </c>
    </row>
    <row r="83" spans="1:11" x14ac:dyDescent="0.2">
      <c r="A83" t="s">
        <v>570</v>
      </c>
      <c r="B83" t="s">
        <v>571</v>
      </c>
      <c r="C83" t="s">
        <v>572</v>
      </c>
      <c r="D83" t="s">
        <v>573</v>
      </c>
      <c r="F83" t="s">
        <v>574</v>
      </c>
      <c r="G83">
        <v>50192</v>
      </c>
      <c r="H83" t="s">
        <v>575</v>
      </c>
      <c r="J83" t="s">
        <v>576</v>
      </c>
      <c r="K83" t="s">
        <v>577</v>
      </c>
    </row>
    <row r="84" spans="1:11" x14ac:dyDescent="0.2">
      <c r="A84" t="s">
        <v>578</v>
      </c>
      <c r="B84" t="s">
        <v>579</v>
      </c>
      <c r="C84" t="s">
        <v>572</v>
      </c>
      <c r="D84" t="s">
        <v>573</v>
      </c>
      <c r="F84" t="s">
        <v>580</v>
      </c>
      <c r="G84">
        <v>50020</v>
      </c>
      <c r="H84" t="s">
        <v>581</v>
      </c>
      <c r="J84" t="s">
        <v>102</v>
      </c>
    </row>
    <row r="85" spans="1:11" x14ac:dyDescent="0.2">
      <c r="A85" t="s">
        <v>582</v>
      </c>
      <c r="B85" t="s">
        <v>583</v>
      </c>
      <c r="C85" t="s">
        <v>584</v>
      </c>
      <c r="D85" t="s">
        <v>585</v>
      </c>
      <c r="F85" t="s">
        <v>586</v>
      </c>
      <c r="G85">
        <v>100133</v>
      </c>
      <c r="K85" t="s">
        <v>587</v>
      </c>
    </row>
    <row r="86" spans="1:11" x14ac:dyDescent="0.2">
      <c r="A86" t="s">
        <v>588</v>
      </c>
      <c r="B86" t="s">
        <v>589</v>
      </c>
      <c r="D86" t="s">
        <v>559</v>
      </c>
      <c r="F86" t="s">
        <v>590</v>
      </c>
      <c r="G86">
        <v>100238</v>
      </c>
      <c r="H86" t="s">
        <v>591</v>
      </c>
      <c r="J86" t="s">
        <v>592</v>
      </c>
      <c r="K86" t="s">
        <v>593</v>
      </c>
    </row>
    <row r="87" spans="1:11" x14ac:dyDescent="0.2">
      <c r="A87" t="s">
        <v>594</v>
      </c>
      <c r="B87" t="s">
        <v>595</v>
      </c>
      <c r="C87" t="s">
        <v>596</v>
      </c>
      <c r="D87" t="s">
        <v>285</v>
      </c>
      <c r="F87" t="s">
        <v>597</v>
      </c>
      <c r="G87">
        <v>50186</v>
      </c>
    </row>
    <row r="88" spans="1:11" x14ac:dyDescent="0.2">
      <c r="A88" t="s">
        <v>598</v>
      </c>
      <c r="B88" t="s">
        <v>599</v>
      </c>
      <c r="C88" t="s">
        <v>87</v>
      </c>
      <c r="D88" t="s">
        <v>88</v>
      </c>
      <c r="F88" t="s">
        <v>600</v>
      </c>
      <c r="G88">
        <v>50236</v>
      </c>
      <c r="H88" t="s">
        <v>601</v>
      </c>
      <c r="J88" t="s">
        <v>602</v>
      </c>
      <c r="K88" t="s">
        <v>603</v>
      </c>
    </row>
    <row r="89" spans="1:11" x14ac:dyDescent="0.2">
      <c r="A89" t="s">
        <v>604</v>
      </c>
      <c r="B89" t="s">
        <v>605</v>
      </c>
      <c r="C89" t="s">
        <v>87</v>
      </c>
      <c r="D89" t="s">
        <v>88</v>
      </c>
      <c r="F89" t="s">
        <v>606</v>
      </c>
      <c r="G89">
        <v>50429</v>
      </c>
      <c r="H89" t="s">
        <v>607</v>
      </c>
      <c r="J89" t="s">
        <v>608</v>
      </c>
      <c r="K89" t="s">
        <v>609</v>
      </c>
    </row>
    <row r="90" spans="1:11" x14ac:dyDescent="0.2">
      <c r="A90" t="s">
        <v>610</v>
      </c>
      <c r="B90" t="s">
        <v>611</v>
      </c>
      <c r="C90" t="s">
        <v>612</v>
      </c>
      <c r="D90" t="s">
        <v>613</v>
      </c>
      <c r="F90" t="s">
        <v>614</v>
      </c>
      <c r="G90">
        <v>50139</v>
      </c>
      <c r="H90" t="s">
        <v>615</v>
      </c>
      <c r="J90" t="s">
        <v>616</v>
      </c>
      <c r="K90" t="s">
        <v>617</v>
      </c>
    </row>
    <row r="91" spans="1:11" x14ac:dyDescent="0.2">
      <c r="A91" t="s">
        <v>618</v>
      </c>
      <c r="B91" t="s">
        <v>619</v>
      </c>
      <c r="C91" t="s">
        <v>620</v>
      </c>
      <c r="D91" t="s">
        <v>621</v>
      </c>
      <c r="F91" t="s">
        <v>622</v>
      </c>
      <c r="G91">
        <v>50159</v>
      </c>
      <c r="H91" t="s">
        <v>623</v>
      </c>
      <c r="J91" t="s">
        <v>624</v>
      </c>
      <c r="K91" t="s">
        <v>625</v>
      </c>
    </row>
    <row r="92" spans="1:11" x14ac:dyDescent="0.2">
      <c r="A92" t="s">
        <v>626</v>
      </c>
      <c r="B92" t="s">
        <v>627</v>
      </c>
      <c r="C92" t="s">
        <v>362</v>
      </c>
      <c r="D92" t="s">
        <v>363</v>
      </c>
      <c r="F92" t="s">
        <v>628</v>
      </c>
      <c r="G92">
        <v>50435</v>
      </c>
      <c r="H92" t="s">
        <v>629</v>
      </c>
      <c r="J92" t="s">
        <v>630</v>
      </c>
      <c r="K92" t="s">
        <v>631</v>
      </c>
    </row>
    <row r="93" spans="1:11" x14ac:dyDescent="0.2">
      <c r="A93" t="s">
        <v>632</v>
      </c>
      <c r="B93" t="s">
        <v>633</v>
      </c>
      <c r="C93" t="s">
        <v>634</v>
      </c>
      <c r="D93" t="s">
        <v>299</v>
      </c>
      <c r="F93" t="s">
        <v>635</v>
      </c>
      <c r="G93">
        <v>95</v>
      </c>
    </row>
    <row r="94" spans="1:11" x14ac:dyDescent="0.2">
      <c r="A94" t="s">
        <v>636</v>
      </c>
      <c r="B94" t="s">
        <v>637</v>
      </c>
      <c r="C94" t="s">
        <v>638</v>
      </c>
      <c r="D94" t="s">
        <v>306</v>
      </c>
      <c r="F94" t="s">
        <v>639</v>
      </c>
      <c r="G94">
        <v>50218</v>
      </c>
      <c r="H94" t="s">
        <v>640</v>
      </c>
      <c r="J94" t="s">
        <v>113</v>
      </c>
      <c r="K94" t="s">
        <v>641</v>
      </c>
    </row>
    <row r="95" spans="1:11" x14ac:dyDescent="0.2">
      <c r="A95" t="s">
        <v>642</v>
      </c>
      <c r="B95" t="s">
        <v>643</v>
      </c>
      <c r="D95" t="s">
        <v>378</v>
      </c>
      <c r="F95" t="s">
        <v>644</v>
      </c>
      <c r="G95">
        <v>50178</v>
      </c>
      <c r="H95" t="s">
        <v>645</v>
      </c>
      <c r="J95" t="s">
        <v>646</v>
      </c>
      <c r="K95" t="s">
        <v>647</v>
      </c>
    </row>
    <row r="96" spans="1:11" x14ac:dyDescent="0.2">
      <c r="A96" t="s">
        <v>648</v>
      </c>
      <c r="B96" t="s">
        <v>649</v>
      </c>
      <c r="C96" t="s">
        <v>650</v>
      </c>
      <c r="D96" t="s">
        <v>651</v>
      </c>
      <c r="F96" t="s">
        <v>652</v>
      </c>
      <c r="G96">
        <v>17</v>
      </c>
      <c r="H96" t="s">
        <v>653</v>
      </c>
      <c r="J96" t="s">
        <v>654</v>
      </c>
      <c r="K96" t="s">
        <v>655</v>
      </c>
    </row>
    <row r="97" spans="1:11" x14ac:dyDescent="0.2">
      <c r="A97" t="s">
        <v>656</v>
      </c>
      <c r="B97" t="s">
        <v>657</v>
      </c>
      <c r="C97" t="s">
        <v>658</v>
      </c>
      <c r="D97" t="s">
        <v>110</v>
      </c>
      <c r="F97" t="s">
        <v>659</v>
      </c>
      <c r="G97">
        <v>83</v>
      </c>
      <c r="H97" t="s">
        <v>660</v>
      </c>
      <c r="J97" t="s">
        <v>661</v>
      </c>
      <c r="K97" t="s">
        <v>655</v>
      </c>
    </row>
    <row r="98" spans="1:11" x14ac:dyDescent="0.2">
      <c r="A98" t="s">
        <v>662</v>
      </c>
      <c r="B98" t="s">
        <v>663</v>
      </c>
      <c r="C98" t="s">
        <v>664</v>
      </c>
      <c r="D98" t="s">
        <v>378</v>
      </c>
      <c r="F98" t="s">
        <v>665</v>
      </c>
      <c r="G98">
        <v>50293</v>
      </c>
      <c r="H98" t="s">
        <v>666</v>
      </c>
      <c r="J98" t="s">
        <v>667</v>
      </c>
      <c r="K98" t="s">
        <v>668</v>
      </c>
    </row>
    <row r="99" spans="1:11" x14ac:dyDescent="0.2">
      <c r="A99" t="s">
        <v>669</v>
      </c>
      <c r="B99" t="s">
        <v>670</v>
      </c>
      <c r="C99" t="s">
        <v>671</v>
      </c>
      <c r="D99" t="s">
        <v>299</v>
      </c>
      <c r="F99" t="s">
        <v>672</v>
      </c>
      <c r="G99">
        <v>50268</v>
      </c>
      <c r="H99" t="s">
        <v>618</v>
      </c>
      <c r="J99" t="s">
        <v>673</v>
      </c>
      <c r="K99" t="s">
        <v>674</v>
      </c>
    </row>
    <row r="100" spans="1:11" x14ac:dyDescent="0.2">
      <c r="A100" t="s">
        <v>675</v>
      </c>
      <c r="B100" t="s">
        <v>676</v>
      </c>
      <c r="C100" t="s">
        <v>677</v>
      </c>
      <c r="D100" t="s">
        <v>110</v>
      </c>
      <c r="F100" t="s">
        <v>678</v>
      </c>
      <c r="G100">
        <v>50181</v>
      </c>
      <c r="H100" t="s">
        <v>679</v>
      </c>
      <c r="J100" t="s">
        <v>680</v>
      </c>
      <c r="K100" t="s">
        <v>681</v>
      </c>
    </row>
    <row r="101" spans="1:11" x14ac:dyDescent="0.2">
      <c r="A101" t="s">
        <v>682</v>
      </c>
      <c r="B101" t="s">
        <v>683</v>
      </c>
      <c r="C101" t="s">
        <v>684</v>
      </c>
      <c r="D101" t="s">
        <v>685</v>
      </c>
      <c r="F101" t="s">
        <v>686</v>
      </c>
      <c r="G101">
        <v>37</v>
      </c>
    </row>
    <row r="102" spans="1:11" x14ac:dyDescent="0.2">
      <c r="A102" t="s">
        <v>687</v>
      </c>
      <c r="B102" t="s">
        <v>688</v>
      </c>
      <c r="C102" t="s">
        <v>689</v>
      </c>
      <c r="D102" t="s">
        <v>602</v>
      </c>
      <c r="F102" t="s">
        <v>690</v>
      </c>
      <c r="G102">
        <v>50286</v>
      </c>
      <c r="H102" t="s">
        <v>691</v>
      </c>
      <c r="J102" t="s">
        <v>692</v>
      </c>
      <c r="K102" t="s">
        <v>693</v>
      </c>
    </row>
    <row r="103" spans="1:11" x14ac:dyDescent="0.2">
      <c r="A103" t="s">
        <v>694</v>
      </c>
      <c r="B103" t="s">
        <v>695</v>
      </c>
      <c r="C103" t="s">
        <v>696</v>
      </c>
      <c r="D103" t="s">
        <v>697</v>
      </c>
      <c r="F103" t="s">
        <v>698</v>
      </c>
      <c r="G103">
        <v>100137</v>
      </c>
      <c r="H103" t="s">
        <v>699</v>
      </c>
      <c r="J103" t="s">
        <v>159</v>
      </c>
      <c r="K103" t="s">
        <v>700</v>
      </c>
    </row>
    <row r="104" spans="1:11" x14ac:dyDescent="0.2">
      <c r="A104" t="s">
        <v>701</v>
      </c>
      <c r="B104" t="s">
        <v>702</v>
      </c>
      <c r="C104" t="s">
        <v>703</v>
      </c>
      <c r="D104" t="s">
        <v>704</v>
      </c>
      <c r="F104" t="s">
        <v>705</v>
      </c>
      <c r="G104">
        <v>50267</v>
      </c>
      <c r="H104" t="s">
        <v>706</v>
      </c>
      <c r="J104" t="s">
        <v>707</v>
      </c>
      <c r="K104" t="s">
        <v>708</v>
      </c>
    </row>
    <row r="105" spans="1:11" x14ac:dyDescent="0.2">
      <c r="A105" t="s">
        <v>709</v>
      </c>
      <c r="B105" t="s">
        <v>710</v>
      </c>
      <c r="C105" t="s">
        <v>711</v>
      </c>
      <c r="D105" t="s">
        <v>285</v>
      </c>
      <c r="F105" t="s">
        <v>712</v>
      </c>
      <c r="G105">
        <v>100109</v>
      </c>
      <c r="H105" t="s">
        <v>713</v>
      </c>
      <c r="J105" t="s">
        <v>175</v>
      </c>
      <c r="K105" t="s">
        <v>714</v>
      </c>
    </row>
    <row r="106" spans="1:11" x14ac:dyDescent="0.2">
      <c r="A106" t="s">
        <v>715</v>
      </c>
      <c r="B106" t="s">
        <v>716</v>
      </c>
      <c r="D106" t="s">
        <v>440</v>
      </c>
      <c r="F106" t="s">
        <v>717</v>
      </c>
      <c r="G106">
        <v>51</v>
      </c>
      <c r="H106" t="s">
        <v>718</v>
      </c>
      <c r="J106" t="s">
        <v>719</v>
      </c>
      <c r="K106" t="s">
        <v>720</v>
      </c>
    </row>
    <row r="107" spans="1:11" x14ac:dyDescent="0.2">
      <c r="A107" t="s">
        <v>721</v>
      </c>
      <c r="B107" t="s">
        <v>722</v>
      </c>
      <c r="C107" t="s">
        <v>723</v>
      </c>
      <c r="D107" t="s">
        <v>724</v>
      </c>
      <c r="F107" t="s">
        <v>725</v>
      </c>
      <c r="G107">
        <v>50216</v>
      </c>
      <c r="H107" t="s">
        <v>726</v>
      </c>
      <c r="J107" t="s">
        <v>251</v>
      </c>
    </row>
    <row r="108" spans="1:11" x14ac:dyDescent="0.2">
      <c r="A108" t="s">
        <v>727</v>
      </c>
      <c r="B108" t="s">
        <v>728</v>
      </c>
      <c r="C108" t="s">
        <v>684</v>
      </c>
      <c r="D108" t="s">
        <v>685</v>
      </c>
      <c r="F108" t="s">
        <v>729</v>
      </c>
      <c r="G108">
        <v>100142</v>
      </c>
      <c r="H108" t="s">
        <v>730</v>
      </c>
      <c r="J108" t="s">
        <v>731</v>
      </c>
      <c r="K108" t="s">
        <v>732</v>
      </c>
    </row>
    <row r="109" spans="1:11" x14ac:dyDescent="0.2">
      <c r="A109" t="s">
        <v>733</v>
      </c>
      <c r="B109" t="s">
        <v>734</v>
      </c>
      <c r="C109" t="s">
        <v>87</v>
      </c>
      <c r="D109" t="s">
        <v>88</v>
      </c>
      <c r="F109" t="s">
        <v>735</v>
      </c>
      <c r="G109">
        <v>100195</v>
      </c>
      <c r="H109" t="s">
        <v>736</v>
      </c>
      <c r="J109" t="s">
        <v>737</v>
      </c>
      <c r="K109" t="s">
        <v>738</v>
      </c>
    </row>
    <row r="110" spans="1:11" x14ac:dyDescent="0.2">
      <c r="A110" t="s">
        <v>739</v>
      </c>
      <c r="B110" t="s">
        <v>740</v>
      </c>
      <c r="C110" t="s">
        <v>677</v>
      </c>
      <c r="D110" t="s">
        <v>110</v>
      </c>
      <c r="F110" t="s">
        <v>741</v>
      </c>
      <c r="G110">
        <v>50367</v>
      </c>
      <c r="H110" t="s">
        <v>742</v>
      </c>
      <c r="J110" t="s">
        <v>743</v>
      </c>
      <c r="K110" t="s">
        <v>744</v>
      </c>
    </row>
    <row r="111" spans="1:11" x14ac:dyDescent="0.2">
      <c r="A111" t="s">
        <v>745</v>
      </c>
      <c r="B111" t="s">
        <v>746</v>
      </c>
      <c r="C111" t="s">
        <v>87</v>
      </c>
      <c r="D111" t="s">
        <v>88</v>
      </c>
      <c r="F111" t="s">
        <v>747</v>
      </c>
      <c r="G111">
        <v>50184</v>
      </c>
      <c r="H111" t="s">
        <v>748</v>
      </c>
      <c r="J111" t="s">
        <v>704</v>
      </c>
      <c r="K111" t="s">
        <v>749</v>
      </c>
    </row>
    <row r="112" spans="1:11" x14ac:dyDescent="0.2">
      <c r="A112" t="s">
        <v>750</v>
      </c>
      <c r="B112" t="s">
        <v>751</v>
      </c>
      <c r="C112" t="s">
        <v>752</v>
      </c>
      <c r="D112" t="s">
        <v>91</v>
      </c>
      <c r="F112" t="s">
        <v>753</v>
      </c>
      <c r="G112">
        <v>100138</v>
      </c>
      <c r="H112" t="s">
        <v>754</v>
      </c>
      <c r="J112" t="s">
        <v>755</v>
      </c>
      <c r="K112" t="s">
        <v>756</v>
      </c>
    </row>
    <row r="113" spans="1:11" x14ac:dyDescent="0.2">
      <c r="A113" t="s">
        <v>757</v>
      </c>
      <c r="B113" t="s">
        <v>758</v>
      </c>
      <c r="C113" t="s">
        <v>87</v>
      </c>
      <c r="D113" t="s">
        <v>95</v>
      </c>
      <c r="F113" t="s">
        <v>759</v>
      </c>
      <c r="G113">
        <v>100175</v>
      </c>
      <c r="H113" t="s">
        <v>760</v>
      </c>
      <c r="J113" t="s">
        <v>761</v>
      </c>
      <c r="K113" t="s">
        <v>762</v>
      </c>
    </row>
    <row r="114" spans="1:11" x14ac:dyDescent="0.2">
      <c r="A114" t="s">
        <v>763</v>
      </c>
      <c r="B114" t="s">
        <v>764</v>
      </c>
      <c r="C114" t="s">
        <v>765</v>
      </c>
      <c r="D114" t="s">
        <v>761</v>
      </c>
      <c r="F114" t="s">
        <v>766</v>
      </c>
      <c r="G114">
        <v>50397</v>
      </c>
      <c r="H114" t="s">
        <v>767</v>
      </c>
      <c r="J114" t="s">
        <v>768</v>
      </c>
      <c r="K114" t="s">
        <v>769</v>
      </c>
    </row>
    <row r="115" spans="1:11" x14ac:dyDescent="0.2">
      <c r="A115" t="s">
        <v>770</v>
      </c>
      <c r="B115" t="s">
        <v>771</v>
      </c>
      <c r="C115" t="s">
        <v>772</v>
      </c>
      <c r="D115" t="s">
        <v>378</v>
      </c>
      <c r="F115" t="s">
        <v>773</v>
      </c>
      <c r="G115">
        <v>13</v>
      </c>
      <c r="H115" t="s">
        <v>774</v>
      </c>
      <c r="J115" t="s">
        <v>775</v>
      </c>
      <c r="K115" t="s">
        <v>776</v>
      </c>
    </row>
    <row r="116" spans="1:11" x14ac:dyDescent="0.2">
      <c r="A116" t="s">
        <v>777</v>
      </c>
      <c r="B116" t="s">
        <v>778</v>
      </c>
      <c r="D116" t="s">
        <v>592</v>
      </c>
      <c r="F116" t="s">
        <v>779</v>
      </c>
      <c r="G116">
        <v>59</v>
      </c>
      <c r="H116" t="s">
        <v>780</v>
      </c>
      <c r="J116" t="s">
        <v>781</v>
      </c>
      <c r="K116" t="s">
        <v>782</v>
      </c>
    </row>
    <row r="117" spans="1:11" x14ac:dyDescent="0.2">
      <c r="A117" t="s">
        <v>783</v>
      </c>
      <c r="B117" t="s">
        <v>784</v>
      </c>
      <c r="C117" t="s">
        <v>785</v>
      </c>
      <c r="D117" t="s">
        <v>378</v>
      </c>
      <c r="F117" t="s">
        <v>786</v>
      </c>
      <c r="G117">
        <v>50271</v>
      </c>
      <c r="H117" t="s">
        <v>787</v>
      </c>
      <c r="J117" t="s">
        <v>454</v>
      </c>
      <c r="K117" t="s">
        <v>788</v>
      </c>
    </row>
    <row r="118" spans="1:11" x14ac:dyDescent="0.2">
      <c r="A118" t="s">
        <v>789</v>
      </c>
      <c r="B118" t="s">
        <v>790</v>
      </c>
      <c r="C118" t="s">
        <v>791</v>
      </c>
      <c r="D118" t="s">
        <v>306</v>
      </c>
      <c r="F118" t="s">
        <v>792</v>
      </c>
      <c r="G118">
        <v>89</v>
      </c>
      <c r="H118" t="s">
        <v>793</v>
      </c>
      <c r="J118" t="s">
        <v>794</v>
      </c>
      <c r="K118" t="s">
        <v>795</v>
      </c>
    </row>
    <row r="119" spans="1:11" x14ac:dyDescent="0.2">
      <c r="A119" t="s">
        <v>796</v>
      </c>
      <c r="B119" t="s">
        <v>797</v>
      </c>
      <c r="C119" t="s">
        <v>798</v>
      </c>
      <c r="D119" t="s">
        <v>110</v>
      </c>
      <c r="F119" t="s">
        <v>799</v>
      </c>
      <c r="G119">
        <v>50141</v>
      </c>
      <c r="H119" t="s">
        <v>800</v>
      </c>
      <c r="J119" t="s">
        <v>801</v>
      </c>
      <c r="K119" t="s">
        <v>802</v>
      </c>
    </row>
    <row r="120" spans="1:11" x14ac:dyDescent="0.2">
      <c r="A120" t="s">
        <v>803</v>
      </c>
      <c r="B120" t="s">
        <v>804</v>
      </c>
      <c r="C120" t="s">
        <v>805</v>
      </c>
      <c r="D120" t="s">
        <v>806</v>
      </c>
      <c r="F120" t="s">
        <v>807</v>
      </c>
      <c r="G120">
        <v>50309</v>
      </c>
      <c r="H120" t="s">
        <v>808</v>
      </c>
      <c r="J120" t="s">
        <v>809</v>
      </c>
      <c r="K120" t="s">
        <v>810</v>
      </c>
    </row>
    <row r="121" spans="1:11" x14ac:dyDescent="0.2">
      <c r="A121" t="s">
        <v>811</v>
      </c>
      <c r="B121" t="s">
        <v>812</v>
      </c>
      <c r="C121" t="s">
        <v>813</v>
      </c>
      <c r="D121" t="s">
        <v>306</v>
      </c>
      <c r="F121" t="s">
        <v>814</v>
      </c>
      <c r="G121">
        <v>100177</v>
      </c>
      <c r="H121" t="s">
        <v>815</v>
      </c>
      <c r="J121" t="s">
        <v>110</v>
      </c>
      <c r="K121" t="s">
        <v>816</v>
      </c>
    </row>
    <row r="122" spans="1:11" x14ac:dyDescent="0.2">
      <c r="A122" t="s">
        <v>817</v>
      </c>
      <c r="B122" t="s">
        <v>818</v>
      </c>
      <c r="D122" t="s">
        <v>819</v>
      </c>
      <c r="F122" t="s">
        <v>820</v>
      </c>
      <c r="G122">
        <v>18</v>
      </c>
      <c r="H122" t="s">
        <v>821</v>
      </c>
      <c r="J122" t="s">
        <v>822</v>
      </c>
      <c r="K122" t="s">
        <v>823</v>
      </c>
    </row>
    <row r="123" spans="1:11" x14ac:dyDescent="0.2">
      <c r="A123" t="s">
        <v>824</v>
      </c>
      <c r="B123" t="s">
        <v>825</v>
      </c>
      <c r="C123" t="s">
        <v>826</v>
      </c>
      <c r="D123" t="s">
        <v>827</v>
      </c>
      <c r="F123" t="s">
        <v>828</v>
      </c>
      <c r="G123">
        <v>50402</v>
      </c>
      <c r="H123" t="s">
        <v>829</v>
      </c>
      <c r="J123" t="s">
        <v>830</v>
      </c>
      <c r="K123" t="s">
        <v>831</v>
      </c>
    </row>
    <row r="124" spans="1:11" x14ac:dyDescent="0.2">
      <c r="A124" t="s">
        <v>832</v>
      </c>
      <c r="B124" t="s">
        <v>833</v>
      </c>
      <c r="D124" t="s">
        <v>834</v>
      </c>
      <c r="F124" t="s">
        <v>835</v>
      </c>
      <c r="G124">
        <v>50222</v>
      </c>
      <c r="H124" t="s">
        <v>836</v>
      </c>
      <c r="J124" t="s">
        <v>251</v>
      </c>
      <c r="K124" t="s">
        <v>837</v>
      </c>
    </row>
    <row r="125" spans="1:11" x14ac:dyDescent="0.2">
      <c r="A125" t="s">
        <v>838</v>
      </c>
      <c r="B125" t="s">
        <v>839</v>
      </c>
      <c r="C125" t="s">
        <v>813</v>
      </c>
      <c r="D125" t="s">
        <v>306</v>
      </c>
      <c r="F125" t="s">
        <v>840</v>
      </c>
      <c r="G125">
        <v>40</v>
      </c>
      <c r="H125" t="s">
        <v>841</v>
      </c>
      <c r="J125" t="s">
        <v>842</v>
      </c>
      <c r="K125" t="s">
        <v>843</v>
      </c>
    </row>
    <row r="126" spans="1:11" x14ac:dyDescent="0.2">
      <c r="A126" t="s">
        <v>844</v>
      </c>
      <c r="B126" t="s">
        <v>845</v>
      </c>
      <c r="C126" t="s">
        <v>846</v>
      </c>
      <c r="D126" t="s">
        <v>847</v>
      </c>
      <c r="F126" t="s">
        <v>848</v>
      </c>
      <c r="G126">
        <v>50448</v>
      </c>
      <c r="H126" t="s">
        <v>849</v>
      </c>
      <c r="J126" t="s">
        <v>850</v>
      </c>
      <c r="K126" t="s">
        <v>851</v>
      </c>
    </row>
    <row r="127" spans="1:11" x14ac:dyDescent="0.2">
      <c r="A127" t="s">
        <v>852</v>
      </c>
      <c r="B127" t="s">
        <v>853</v>
      </c>
      <c r="C127" t="s">
        <v>854</v>
      </c>
      <c r="D127" t="s">
        <v>855</v>
      </c>
      <c r="F127" t="s">
        <v>856</v>
      </c>
      <c r="G127">
        <v>84</v>
      </c>
      <c r="H127" t="s">
        <v>857</v>
      </c>
      <c r="J127" t="s">
        <v>393</v>
      </c>
      <c r="K127" t="s">
        <v>858</v>
      </c>
    </row>
    <row r="128" spans="1:11" x14ac:dyDescent="0.2">
      <c r="A128" t="s">
        <v>859</v>
      </c>
      <c r="B128" t="s">
        <v>860</v>
      </c>
      <c r="C128" t="s">
        <v>813</v>
      </c>
      <c r="D128" t="s">
        <v>306</v>
      </c>
      <c r="F128" t="s">
        <v>861</v>
      </c>
      <c r="G128">
        <v>50026</v>
      </c>
      <c r="H128" t="s">
        <v>862</v>
      </c>
      <c r="J128" t="s">
        <v>863</v>
      </c>
    </row>
    <row r="129" spans="1:11" x14ac:dyDescent="0.2">
      <c r="A129" t="s">
        <v>864</v>
      </c>
      <c r="B129" t="s">
        <v>865</v>
      </c>
      <c r="C129" t="s">
        <v>305</v>
      </c>
      <c r="D129" t="s">
        <v>306</v>
      </c>
      <c r="F129" t="s">
        <v>866</v>
      </c>
      <c r="G129">
        <v>50168</v>
      </c>
      <c r="H129" t="s">
        <v>867</v>
      </c>
      <c r="J129" t="s">
        <v>868</v>
      </c>
      <c r="K129" t="s">
        <v>869</v>
      </c>
    </row>
    <row r="130" spans="1:11" x14ac:dyDescent="0.2">
      <c r="A130" t="s">
        <v>870</v>
      </c>
      <c r="B130" t="s">
        <v>871</v>
      </c>
      <c r="C130" t="s">
        <v>872</v>
      </c>
      <c r="D130" t="s">
        <v>873</v>
      </c>
      <c r="F130" t="s">
        <v>874</v>
      </c>
      <c r="G130">
        <v>100125</v>
      </c>
      <c r="H130" t="s">
        <v>875</v>
      </c>
      <c r="J130" t="s">
        <v>876</v>
      </c>
      <c r="K130" t="s">
        <v>877</v>
      </c>
    </row>
    <row r="131" spans="1:11" x14ac:dyDescent="0.2">
      <c r="A131" t="s">
        <v>878</v>
      </c>
      <c r="B131" t="s">
        <v>879</v>
      </c>
      <c r="C131" t="s">
        <v>765</v>
      </c>
      <c r="D131" t="s">
        <v>761</v>
      </c>
      <c r="F131" t="s">
        <v>880</v>
      </c>
      <c r="G131">
        <v>100262</v>
      </c>
      <c r="H131" t="s">
        <v>881</v>
      </c>
      <c r="J131" t="s">
        <v>882</v>
      </c>
      <c r="K131" t="s">
        <v>883</v>
      </c>
    </row>
    <row r="132" spans="1:11" x14ac:dyDescent="0.2">
      <c r="A132" t="s">
        <v>884</v>
      </c>
      <c r="B132" t="s">
        <v>885</v>
      </c>
      <c r="D132" t="s">
        <v>886</v>
      </c>
      <c r="F132" t="s">
        <v>887</v>
      </c>
      <c r="G132">
        <v>50433</v>
      </c>
      <c r="H132" t="s">
        <v>888</v>
      </c>
      <c r="J132" t="s">
        <v>889</v>
      </c>
      <c r="K132" t="s">
        <v>890</v>
      </c>
    </row>
    <row r="133" spans="1:11" x14ac:dyDescent="0.2">
      <c r="A133" t="s">
        <v>891</v>
      </c>
      <c r="B133" t="s">
        <v>892</v>
      </c>
      <c r="C133" t="s">
        <v>893</v>
      </c>
      <c r="D133" t="s">
        <v>285</v>
      </c>
      <c r="F133" t="s">
        <v>894</v>
      </c>
      <c r="G133">
        <v>7</v>
      </c>
      <c r="H133" t="s">
        <v>895</v>
      </c>
      <c r="J133" t="s">
        <v>896</v>
      </c>
      <c r="K133" t="s">
        <v>897</v>
      </c>
    </row>
    <row r="134" spans="1:11" x14ac:dyDescent="0.2">
      <c r="A134" t="s">
        <v>898</v>
      </c>
      <c r="B134" t="s">
        <v>899</v>
      </c>
      <c r="C134" t="s">
        <v>900</v>
      </c>
      <c r="D134" t="s">
        <v>285</v>
      </c>
      <c r="F134" t="s">
        <v>901</v>
      </c>
      <c r="G134">
        <v>50426</v>
      </c>
      <c r="H134" t="s">
        <v>902</v>
      </c>
      <c r="J134" t="s">
        <v>903</v>
      </c>
      <c r="K134" t="s">
        <v>904</v>
      </c>
    </row>
    <row r="135" spans="1:11" x14ac:dyDescent="0.2">
      <c r="A135" t="s">
        <v>905</v>
      </c>
      <c r="B135" t="s">
        <v>906</v>
      </c>
      <c r="C135" t="s">
        <v>907</v>
      </c>
      <c r="D135" t="s">
        <v>306</v>
      </c>
      <c r="F135" t="s">
        <v>908</v>
      </c>
      <c r="G135">
        <v>50394</v>
      </c>
      <c r="H135" t="s">
        <v>815</v>
      </c>
      <c r="J135" t="s">
        <v>110</v>
      </c>
      <c r="K135" t="s">
        <v>883</v>
      </c>
    </row>
    <row r="136" spans="1:11" x14ac:dyDescent="0.2">
      <c r="A136" t="s">
        <v>909</v>
      </c>
      <c r="B136" t="s">
        <v>910</v>
      </c>
      <c r="C136" t="s">
        <v>911</v>
      </c>
      <c r="D136" t="s">
        <v>912</v>
      </c>
      <c r="F136" t="s">
        <v>913</v>
      </c>
      <c r="G136">
        <v>50439</v>
      </c>
      <c r="H136" t="s">
        <v>914</v>
      </c>
      <c r="J136" t="s">
        <v>915</v>
      </c>
      <c r="K136" t="s">
        <v>916</v>
      </c>
    </row>
    <row r="137" spans="1:11" x14ac:dyDescent="0.2">
      <c r="A137" t="s">
        <v>917</v>
      </c>
      <c r="B137" t="s">
        <v>918</v>
      </c>
      <c r="C137" t="s">
        <v>919</v>
      </c>
      <c r="D137" t="s">
        <v>920</v>
      </c>
      <c r="F137" t="s">
        <v>921</v>
      </c>
      <c r="G137">
        <v>50252</v>
      </c>
      <c r="H137" t="s">
        <v>922</v>
      </c>
      <c r="J137" t="s">
        <v>827</v>
      </c>
      <c r="K137" t="s">
        <v>923</v>
      </c>
    </row>
    <row r="138" spans="1:11" x14ac:dyDescent="0.2">
      <c r="A138" t="s">
        <v>924</v>
      </c>
      <c r="B138" t="s">
        <v>925</v>
      </c>
      <c r="C138" t="s">
        <v>926</v>
      </c>
      <c r="D138" t="s">
        <v>927</v>
      </c>
      <c r="F138" t="s">
        <v>928</v>
      </c>
      <c r="G138">
        <v>30</v>
      </c>
      <c r="H138" t="s">
        <v>929</v>
      </c>
      <c r="J138" t="s">
        <v>181</v>
      </c>
      <c r="K138" t="s">
        <v>930</v>
      </c>
    </row>
    <row r="139" spans="1:11" x14ac:dyDescent="0.2">
      <c r="A139" t="s">
        <v>931</v>
      </c>
      <c r="B139" t="s">
        <v>932</v>
      </c>
      <c r="C139" t="s">
        <v>933</v>
      </c>
      <c r="D139" t="s">
        <v>110</v>
      </c>
      <c r="F139" t="s">
        <v>934</v>
      </c>
      <c r="G139">
        <v>52</v>
      </c>
      <c r="H139" t="s">
        <v>935</v>
      </c>
      <c r="J139" t="s">
        <v>936</v>
      </c>
      <c r="K139" t="s">
        <v>937</v>
      </c>
    </row>
    <row r="140" spans="1:11" x14ac:dyDescent="0.2">
      <c r="A140" t="s">
        <v>938</v>
      </c>
      <c r="B140" t="s">
        <v>939</v>
      </c>
      <c r="C140" t="s">
        <v>940</v>
      </c>
      <c r="D140" t="s">
        <v>299</v>
      </c>
      <c r="F140" t="s">
        <v>941</v>
      </c>
      <c r="G140">
        <v>87</v>
      </c>
      <c r="H140" t="s">
        <v>942</v>
      </c>
      <c r="J140" t="s">
        <v>943</v>
      </c>
      <c r="K140" t="s">
        <v>944</v>
      </c>
    </row>
    <row r="141" spans="1:11" x14ac:dyDescent="0.2">
      <c r="A141" t="s">
        <v>945</v>
      </c>
      <c r="B141" t="s">
        <v>946</v>
      </c>
      <c r="C141" t="s">
        <v>947</v>
      </c>
      <c r="D141" t="s">
        <v>948</v>
      </c>
      <c r="F141" t="s">
        <v>949</v>
      </c>
      <c r="G141">
        <v>22</v>
      </c>
      <c r="H141" t="s">
        <v>950</v>
      </c>
      <c r="J141" t="s">
        <v>951</v>
      </c>
      <c r="K141" t="s">
        <v>952</v>
      </c>
    </row>
    <row r="142" spans="1:11" x14ac:dyDescent="0.2">
      <c r="A142" t="s">
        <v>953</v>
      </c>
      <c r="B142" t="s">
        <v>954</v>
      </c>
      <c r="C142" t="s">
        <v>377</v>
      </c>
      <c r="D142" t="s">
        <v>378</v>
      </c>
      <c r="F142" t="s">
        <v>955</v>
      </c>
      <c r="G142">
        <v>50176</v>
      </c>
      <c r="H142" t="s">
        <v>956</v>
      </c>
      <c r="J142" t="s">
        <v>957</v>
      </c>
      <c r="K142" t="s">
        <v>958</v>
      </c>
    </row>
    <row r="143" spans="1:11" x14ac:dyDescent="0.2">
      <c r="A143" t="s">
        <v>959</v>
      </c>
      <c r="B143" t="s">
        <v>960</v>
      </c>
      <c r="C143" t="s">
        <v>116</v>
      </c>
      <c r="D143" t="s">
        <v>110</v>
      </c>
      <c r="F143" t="s">
        <v>961</v>
      </c>
      <c r="G143">
        <v>50308</v>
      </c>
      <c r="H143" t="s">
        <v>962</v>
      </c>
      <c r="J143" t="s">
        <v>963</v>
      </c>
      <c r="K143" t="s">
        <v>964</v>
      </c>
    </row>
    <row r="144" spans="1:11" x14ac:dyDescent="0.2">
      <c r="A144" t="s">
        <v>965</v>
      </c>
      <c r="B144" t="s">
        <v>966</v>
      </c>
      <c r="C144" t="s">
        <v>116</v>
      </c>
      <c r="D144" t="s">
        <v>110</v>
      </c>
      <c r="F144" t="s">
        <v>967</v>
      </c>
      <c r="G144">
        <v>50215</v>
      </c>
      <c r="H144" t="s">
        <v>968</v>
      </c>
      <c r="J144" t="s">
        <v>969</v>
      </c>
      <c r="K144" t="s">
        <v>970</v>
      </c>
    </row>
    <row r="145" spans="1:11" x14ac:dyDescent="0.2">
      <c r="A145" t="s">
        <v>971</v>
      </c>
      <c r="B145" t="s">
        <v>972</v>
      </c>
      <c r="C145" t="s">
        <v>116</v>
      </c>
      <c r="D145" t="s">
        <v>110</v>
      </c>
      <c r="F145" t="s">
        <v>973</v>
      </c>
      <c r="G145">
        <v>11</v>
      </c>
      <c r="H145" t="s">
        <v>974</v>
      </c>
      <c r="J145" t="s">
        <v>975</v>
      </c>
      <c r="K145" t="s">
        <v>976</v>
      </c>
    </row>
    <row r="146" spans="1:11" x14ac:dyDescent="0.2">
      <c r="A146" t="s">
        <v>977</v>
      </c>
      <c r="B146" t="s">
        <v>978</v>
      </c>
      <c r="C146" t="s">
        <v>979</v>
      </c>
      <c r="D146" t="s">
        <v>326</v>
      </c>
      <c r="F146" t="s">
        <v>980</v>
      </c>
      <c r="G146">
        <v>50170</v>
      </c>
      <c r="H146" t="s">
        <v>981</v>
      </c>
      <c r="J146" t="s">
        <v>982</v>
      </c>
      <c r="K146" t="s">
        <v>983</v>
      </c>
    </row>
    <row r="147" spans="1:11" x14ac:dyDescent="0.2">
      <c r="A147" t="s">
        <v>984</v>
      </c>
      <c r="B147" t="s">
        <v>985</v>
      </c>
      <c r="C147" t="s">
        <v>116</v>
      </c>
      <c r="D147" t="s">
        <v>110</v>
      </c>
      <c r="F147" t="s">
        <v>986</v>
      </c>
      <c r="G147">
        <v>45</v>
      </c>
      <c r="H147" t="s">
        <v>987</v>
      </c>
      <c r="J147" t="s">
        <v>988</v>
      </c>
      <c r="K147" t="s">
        <v>989</v>
      </c>
    </row>
    <row r="148" spans="1:11" x14ac:dyDescent="0.2">
      <c r="A148" t="s">
        <v>990</v>
      </c>
      <c r="B148" t="s">
        <v>991</v>
      </c>
      <c r="D148" t="s">
        <v>992</v>
      </c>
      <c r="F148" t="s">
        <v>993</v>
      </c>
      <c r="G148">
        <v>76</v>
      </c>
      <c r="H148" t="s">
        <v>994</v>
      </c>
      <c r="J148" t="s">
        <v>995</v>
      </c>
      <c r="K148" t="s">
        <v>996</v>
      </c>
    </row>
    <row r="149" spans="1:11" x14ac:dyDescent="0.2">
      <c r="A149" t="s">
        <v>997</v>
      </c>
      <c r="B149" t="s">
        <v>998</v>
      </c>
      <c r="C149" t="s">
        <v>999</v>
      </c>
      <c r="D149" t="s">
        <v>1000</v>
      </c>
      <c r="F149" t="s">
        <v>1001</v>
      </c>
      <c r="G149">
        <v>50213</v>
      </c>
      <c r="H149" t="s">
        <v>1002</v>
      </c>
      <c r="J149" t="s">
        <v>199</v>
      </c>
      <c r="K149" t="s">
        <v>1003</v>
      </c>
    </row>
    <row r="150" spans="1:11" x14ac:dyDescent="0.2">
      <c r="A150" t="s">
        <v>1004</v>
      </c>
      <c r="B150" t="s">
        <v>1005</v>
      </c>
      <c r="C150" t="s">
        <v>116</v>
      </c>
      <c r="D150" t="s">
        <v>110</v>
      </c>
      <c r="F150" t="s">
        <v>1006</v>
      </c>
      <c r="G150">
        <v>50396</v>
      </c>
      <c r="H150" t="s">
        <v>1007</v>
      </c>
      <c r="J150" t="s">
        <v>1008</v>
      </c>
      <c r="K150" t="s">
        <v>1009</v>
      </c>
    </row>
    <row r="151" spans="1:11" x14ac:dyDescent="0.2">
      <c r="A151" t="s">
        <v>1010</v>
      </c>
      <c r="B151" t="s">
        <v>1011</v>
      </c>
      <c r="C151" t="s">
        <v>826</v>
      </c>
      <c r="D151" t="s">
        <v>827</v>
      </c>
      <c r="F151" t="s">
        <v>1012</v>
      </c>
      <c r="G151">
        <v>50305</v>
      </c>
      <c r="H151" t="s">
        <v>1013</v>
      </c>
      <c r="J151" t="s">
        <v>1014</v>
      </c>
      <c r="K151" t="s">
        <v>1015</v>
      </c>
    </row>
    <row r="152" spans="1:11" x14ac:dyDescent="0.2">
      <c r="A152" t="s">
        <v>1016</v>
      </c>
      <c r="B152" t="s">
        <v>1017</v>
      </c>
      <c r="C152" t="s">
        <v>116</v>
      </c>
      <c r="D152" t="s">
        <v>110</v>
      </c>
      <c r="F152" t="s">
        <v>1018</v>
      </c>
      <c r="G152">
        <v>50033</v>
      </c>
      <c r="H152" t="s">
        <v>1019</v>
      </c>
      <c r="J152" t="s">
        <v>1020</v>
      </c>
    </row>
    <row r="153" spans="1:11" x14ac:dyDescent="0.2">
      <c r="A153" t="s">
        <v>1021</v>
      </c>
      <c r="B153" t="s">
        <v>1022</v>
      </c>
      <c r="D153" t="s">
        <v>454</v>
      </c>
      <c r="F153" t="s">
        <v>1023</v>
      </c>
      <c r="G153">
        <v>50288</v>
      </c>
      <c r="H153" t="s">
        <v>808</v>
      </c>
      <c r="J153" t="s">
        <v>809</v>
      </c>
      <c r="K153" t="s">
        <v>1024</v>
      </c>
    </row>
    <row r="154" spans="1:11" x14ac:dyDescent="0.2">
      <c r="A154" t="s">
        <v>1025</v>
      </c>
      <c r="B154" t="s">
        <v>1026</v>
      </c>
      <c r="C154" t="s">
        <v>431</v>
      </c>
      <c r="D154" t="s">
        <v>432</v>
      </c>
      <c r="F154" t="s">
        <v>1027</v>
      </c>
      <c r="G154">
        <v>100108</v>
      </c>
      <c r="H154" t="s">
        <v>1028</v>
      </c>
      <c r="J154" t="s">
        <v>761</v>
      </c>
      <c r="K154" t="s">
        <v>1029</v>
      </c>
    </row>
    <row r="155" spans="1:11" x14ac:dyDescent="0.2">
      <c r="A155" t="s">
        <v>1030</v>
      </c>
      <c r="B155" t="s">
        <v>1031</v>
      </c>
      <c r="C155" t="s">
        <v>116</v>
      </c>
      <c r="D155" t="s">
        <v>110</v>
      </c>
      <c r="F155" t="s">
        <v>1032</v>
      </c>
      <c r="G155">
        <v>50102</v>
      </c>
      <c r="H155" t="s">
        <v>1033</v>
      </c>
      <c r="J155" t="s">
        <v>1034</v>
      </c>
    </row>
    <row r="156" spans="1:11" x14ac:dyDescent="0.2">
      <c r="A156" t="s">
        <v>1035</v>
      </c>
      <c r="B156" t="s">
        <v>1036</v>
      </c>
      <c r="C156" t="s">
        <v>116</v>
      </c>
      <c r="D156" t="s">
        <v>110</v>
      </c>
      <c r="F156" t="s">
        <v>1037</v>
      </c>
      <c r="G156">
        <v>50283</v>
      </c>
      <c r="H156" t="s">
        <v>1038</v>
      </c>
      <c r="J156" t="s">
        <v>181</v>
      </c>
      <c r="K156" t="s">
        <v>1039</v>
      </c>
    </row>
    <row r="157" spans="1:11" x14ac:dyDescent="0.2">
      <c r="A157" t="s">
        <v>1040</v>
      </c>
      <c r="B157" t="s">
        <v>1041</v>
      </c>
      <c r="C157" t="s">
        <v>116</v>
      </c>
      <c r="D157" t="s">
        <v>110</v>
      </c>
      <c r="F157" t="s">
        <v>1042</v>
      </c>
      <c r="G157">
        <v>100139</v>
      </c>
      <c r="H157" t="s">
        <v>1043</v>
      </c>
      <c r="J157" t="s">
        <v>1044</v>
      </c>
      <c r="K157" t="s">
        <v>1045</v>
      </c>
    </row>
    <row r="158" spans="1:11" x14ac:dyDescent="0.2">
      <c r="A158" t="s">
        <v>1046</v>
      </c>
      <c r="B158" t="s">
        <v>1047</v>
      </c>
      <c r="C158" t="s">
        <v>1048</v>
      </c>
      <c r="D158" t="s">
        <v>819</v>
      </c>
      <c r="F158" t="s">
        <v>1049</v>
      </c>
      <c r="G158">
        <v>50415</v>
      </c>
      <c r="H158" t="s">
        <v>1050</v>
      </c>
      <c r="J158" t="s">
        <v>440</v>
      </c>
      <c r="K158" t="s">
        <v>1051</v>
      </c>
    </row>
    <row r="159" spans="1:11" x14ac:dyDescent="0.2">
      <c r="A159" t="s">
        <v>1052</v>
      </c>
      <c r="B159" t="s">
        <v>1053</v>
      </c>
      <c r="C159" t="s">
        <v>1054</v>
      </c>
      <c r="D159" t="s">
        <v>761</v>
      </c>
      <c r="F159" t="s">
        <v>1055</v>
      </c>
      <c r="G159">
        <v>50347</v>
      </c>
      <c r="K159" t="s">
        <v>625</v>
      </c>
    </row>
    <row r="160" spans="1:11" x14ac:dyDescent="0.2">
      <c r="A160" t="s">
        <v>1056</v>
      </c>
      <c r="B160" t="s">
        <v>1057</v>
      </c>
      <c r="C160" t="s">
        <v>1054</v>
      </c>
      <c r="D160" t="s">
        <v>761</v>
      </c>
      <c r="F160" t="s">
        <v>1058</v>
      </c>
      <c r="G160">
        <v>97</v>
      </c>
    </row>
    <row r="161" spans="1:11" x14ac:dyDescent="0.2">
      <c r="A161" t="s">
        <v>1059</v>
      </c>
      <c r="B161" t="s">
        <v>1060</v>
      </c>
      <c r="C161" t="s">
        <v>765</v>
      </c>
      <c r="D161" t="s">
        <v>761</v>
      </c>
      <c r="F161" t="s">
        <v>1061</v>
      </c>
      <c r="G161">
        <v>100112</v>
      </c>
      <c r="H161" t="s">
        <v>1062</v>
      </c>
      <c r="J161" t="s">
        <v>1034</v>
      </c>
      <c r="K161" t="s">
        <v>1063</v>
      </c>
    </row>
    <row r="162" spans="1:11" x14ac:dyDescent="0.2">
      <c r="A162" t="s">
        <v>1064</v>
      </c>
      <c r="B162" t="s">
        <v>1065</v>
      </c>
      <c r="C162" t="s">
        <v>765</v>
      </c>
      <c r="D162" t="s">
        <v>761</v>
      </c>
      <c r="F162" t="s">
        <v>1066</v>
      </c>
      <c r="G162">
        <v>50304</v>
      </c>
      <c r="H162" t="s">
        <v>1067</v>
      </c>
      <c r="J162" t="s">
        <v>1068</v>
      </c>
      <c r="K162" t="s">
        <v>1069</v>
      </c>
    </row>
    <row r="163" spans="1:11" x14ac:dyDescent="0.2">
      <c r="A163" t="s">
        <v>1070</v>
      </c>
      <c r="B163" t="s">
        <v>1071</v>
      </c>
      <c r="C163" t="s">
        <v>1054</v>
      </c>
      <c r="D163" t="s">
        <v>761</v>
      </c>
      <c r="F163" t="s">
        <v>1072</v>
      </c>
      <c r="G163">
        <v>50136</v>
      </c>
      <c r="H163" t="s">
        <v>1073</v>
      </c>
      <c r="J163" t="s">
        <v>801</v>
      </c>
      <c r="K163" t="s">
        <v>1074</v>
      </c>
    </row>
    <row r="164" spans="1:11" x14ac:dyDescent="0.2">
      <c r="A164" t="s">
        <v>1075</v>
      </c>
      <c r="B164" t="s">
        <v>1076</v>
      </c>
      <c r="C164" t="s">
        <v>1054</v>
      </c>
      <c r="D164" t="s">
        <v>761</v>
      </c>
      <c r="F164" t="s">
        <v>1077</v>
      </c>
      <c r="G164">
        <v>55</v>
      </c>
      <c r="H164" t="s">
        <v>1078</v>
      </c>
      <c r="J164" t="s">
        <v>646</v>
      </c>
    </row>
    <row r="165" spans="1:11" x14ac:dyDescent="0.2">
      <c r="A165" t="s">
        <v>1079</v>
      </c>
      <c r="B165" t="s">
        <v>1080</v>
      </c>
      <c r="C165" t="s">
        <v>1054</v>
      </c>
      <c r="D165" t="s">
        <v>761</v>
      </c>
      <c r="F165" t="s">
        <v>1081</v>
      </c>
      <c r="G165">
        <v>100094</v>
      </c>
      <c r="H165" t="s">
        <v>1082</v>
      </c>
      <c r="J165" t="s">
        <v>1083</v>
      </c>
      <c r="K165" t="s">
        <v>1084</v>
      </c>
    </row>
    <row r="166" spans="1:11" x14ac:dyDescent="0.2">
      <c r="A166" t="s">
        <v>1085</v>
      </c>
      <c r="B166" t="s">
        <v>1086</v>
      </c>
      <c r="C166" t="s">
        <v>765</v>
      </c>
      <c r="D166" t="s">
        <v>761</v>
      </c>
      <c r="F166" t="s">
        <v>1087</v>
      </c>
      <c r="G166">
        <v>50173</v>
      </c>
      <c r="H166" t="s">
        <v>1088</v>
      </c>
      <c r="J166" t="s">
        <v>1089</v>
      </c>
      <c r="K166" t="s">
        <v>1090</v>
      </c>
    </row>
    <row r="167" spans="1:11" x14ac:dyDescent="0.2">
      <c r="A167" t="s">
        <v>1091</v>
      </c>
      <c r="B167" t="s">
        <v>1092</v>
      </c>
      <c r="C167" t="s">
        <v>1054</v>
      </c>
      <c r="D167" t="s">
        <v>761</v>
      </c>
      <c r="F167" t="s">
        <v>1093</v>
      </c>
      <c r="G167">
        <v>50289</v>
      </c>
      <c r="H167" t="s">
        <v>1094</v>
      </c>
      <c r="J167" t="s">
        <v>181</v>
      </c>
      <c r="K167" t="s">
        <v>1095</v>
      </c>
    </row>
    <row r="168" spans="1:11" x14ac:dyDescent="0.2">
      <c r="A168" t="s">
        <v>1096</v>
      </c>
      <c r="B168" t="s">
        <v>1097</v>
      </c>
      <c r="C168" t="s">
        <v>1054</v>
      </c>
      <c r="D168" t="s">
        <v>761</v>
      </c>
      <c r="F168" t="s">
        <v>1098</v>
      </c>
      <c r="G168">
        <v>50160</v>
      </c>
      <c r="H168" t="s">
        <v>1099</v>
      </c>
      <c r="J168" t="s">
        <v>1100</v>
      </c>
      <c r="K168" t="s">
        <v>1101</v>
      </c>
    </row>
    <row r="169" spans="1:11" x14ac:dyDescent="0.2">
      <c r="A169" t="s">
        <v>1102</v>
      </c>
      <c r="B169" t="s">
        <v>1103</v>
      </c>
      <c r="C169" t="s">
        <v>1054</v>
      </c>
      <c r="D169" t="s">
        <v>761</v>
      </c>
      <c r="F169" t="s">
        <v>1104</v>
      </c>
      <c r="G169">
        <v>100136</v>
      </c>
      <c r="H169" t="s">
        <v>1105</v>
      </c>
      <c r="J169" t="s">
        <v>969</v>
      </c>
      <c r="K169" t="s">
        <v>1106</v>
      </c>
    </row>
    <row r="170" spans="1:11" x14ac:dyDescent="0.2">
      <c r="A170" t="s">
        <v>1107</v>
      </c>
      <c r="B170" t="s">
        <v>1108</v>
      </c>
      <c r="C170" t="s">
        <v>1054</v>
      </c>
      <c r="D170" t="s">
        <v>761</v>
      </c>
      <c r="F170" t="s">
        <v>1109</v>
      </c>
      <c r="G170">
        <v>50295</v>
      </c>
      <c r="H170" t="s">
        <v>1094</v>
      </c>
      <c r="J170" t="s">
        <v>159</v>
      </c>
      <c r="K170" t="s">
        <v>1110</v>
      </c>
    </row>
    <row r="171" spans="1:11" x14ac:dyDescent="0.2">
      <c r="A171" t="s">
        <v>1111</v>
      </c>
      <c r="B171" t="s">
        <v>1112</v>
      </c>
      <c r="C171" t="s">
        <v>765</v>
      </c>
      <c r="D171" t="s">
        <v>1113</v>
      </c>
      <c r="F171" t="s">
        <v>1114</v>
      </c>
      <c r="G171">
        <v>50329</v>
      </c>
      <c r="H171" t="s">
        <v>1115</v>
      </c>
      <c r="J171" t="s">
        <v>396</v>
      </c>
      <c r="K171" t="s">
        <v>1116</v>
      </c>
    </row>
    <row r="172" spans="1:11" x14ac:dyDescent="0.2">
      <c r="A172" t="s">
        <v>1117</v>
      </c>
      <c r="B172" t="s">
        <v>1118</v>
      </c>
      <c r="C172" t="s">
        <v>1054</v>
      </c>
      <c r="D172" t="s">
        <v>761</v>
      </c>
      <c r="F172" t="s">
        <v>1119</v>
      </c>
      <c r="G172">
        <v>50467</v>
      </c>
      <c r="H172" t="s">
        <v>1120</v>
      </c>
      <c r="J172" t="s">
        <v>697</v>
      </c>
      <c r="K172" t="s">
        <v>1121</v>
      </c>
    </row>
    <row r="173" spans="1:11" x14ac:dyDescent="0.2">
      <c r="A173" t="s">
        <v>1122</v>
      </c>
      <c r="B173" t="s">
        <v>1123</v>
      </c>
      <c r="C173" t="s">
        <v>1054</v>
      </c>
      <c r="D173" t="s">
        <v>761</v>
      </c>
      <c r="F173" t="s">
        <v>1124</v>
      </c>
      <c r="G173">
        <v>50198</v>
      </c>
      <c r="H173" t="s">
        <v>1125</v>
      </c>
      <c r="J173" t="s">
        <v>806</v>
      </c>
      <c r="K173" t="s">
        <v>1126</v>
      </c>
    </row>
    <row r="174" spans="1:11" x14ac:dyDescent="0.2">
      <c r="A174" t="s">
        <v>1127</v>
      </c>
      <c r="B174" t="s">
        <v>1128</v>
      </c>
      <c r="C174" t="s">
        <v>765</v>
      </c>
      <c r="D174" t="s">
        <v>761</v>
      </c>
      <c r="F174" t="s">
        <v>1129</v>
      </c>
      <c r="G174">
        <v>96</v>
      </c>
    </row>
    <row r="175" spans="1:11" x14ac:dyDescent="0.2">
      <c r="A175" t="s">
        <v>1130</v>
      </c>
      <c r="B175" t="s">
        <v>1131</v>
      </c>
      <c r="C175" t="s">
        <v>1054</v>
      </c>
      <c r="D175" t="s">
        <v>761</v>
      </c>
      <c r="F175" t="s">
        <v>1132</v>
      </c>
      <c r="G175">
        <v>35</v>
      </c>
      <c r="H175" t="s">
        <v>793</v>
      </c>
      <c r="J175" t="s">
        <v>794</v>
      </c>
      <c r="K175" t="s">
        <v>795</v>
      </c>
    </row>
    <row r="176" spans="1:11" x14ac:dyDescent="0.2">
      <c r="A176" t="s">
        <v>1133</v>
      </c>
      <c r="B176" t="s">
        <v>1134</v>
      </c>
      <c r="C176" t="s">
        <v>1135</v>
      </c>
      <c r="D176" t="s">
        <v>91</v>
      </c>
      <c r="F176" t="s">
        <v>1136</v>
      </c>
      <c r="G176">
        <v>50152</v>
      </c>
      <c r="H176" t="s">
        <v>1137</v>
      </c>
      <c r="J176" t="s">
        <v>1138</v>
      </c>
      <c r="K176" t="s">
        <v>1139</v>
      </c>
    </row>
    <row r="177" spans="1:11" x14ac:dyDescent="0.2">
      <c r="A177" t="s">
        <v>1140</v>
      </c>
      <c r="B177" t="s">
        <v>1141</v>
      </c>
      <c r="C177" t="s">
        <v>1142</v>
      </c>
      <c r="D177" t="s">
        <v>1143</v>
      </c>
      <c r="F177" t="s">
        <v>1144</v>
      </c>
      <c r="G177">
        <v>100228</v>
      </c>
      <c r="H177" t="s">
        <v>1145</v>
      </c>
      <c r="J177" t="s">
        <v>1146</v>
      </c>
      <c r="K177" t="s">
        <v>1147</v>
      </c>
    </row>
    <row r="178" spans="1:11" x14ac:dyDescent="0.2">
      <c r="A178" t="s">
        <v>1148</v>
      </c>
      <c r="B178" t="s">
        <v>1149</v>
      </c>
      <c r="C178" t="s">
        <v>87</v>
      </c>
      <c r="D178" t="s">
        <v>95</v>
      </c>
      <c r="F178" t="s">
        <v>1150</v>
      </c>
      <c r="G178">
        <v>25</v>
      </c>
      <c r="H178" t="s">
        <v>1151</v>
      </c>
      <c r="J178" t="s">
        <v>1152</v>
      </c>
      <c r="K178" t="s">
        <v>1153</v>
      </c>
    </row>
    <row r="179" spans="1:11" x14ac:dyDescent="0.2">
      <c r="A179" t="s">
        <v>1154</v>
      </c>
      <c r="B179" t="s">
        <v>1155</v>
      </c>
      <c r="C179" t="s">
        <v>87</v>
      </c>
      <c r="D179" t="s">
        <v>95</v>
      </c>
      <c r="F179" t="s">
        <v>1156</v>
      </c>
      <c r="G179">
        <v>50373</v>
      </c>
      <c r="H179" t="s">
        <v>1157</v>
      </c>
      <c r="J179" t="s">
        <v>1158</v>
      </c>
      <c r="K179" t="s">
        <v>1159</v>
      </c>
    </row>
    <row r="180" spans="1:11" x14ac:dyDescent="0.2">
      <c r="A180" t="s">
        <v>1160</v>
      </c>
      <c r="B180" t="s">
        <v>1161</v>
      </c>
      <c r="D180" t="s">
        <v>299</v>
      </c>
      <c r="F180" t="s">
        <v>1162</v>
      </c>
      <c r="G180">
        <v>50228</v>
      </c>
      <c r="K180" t="s">
        <v>1163</v>
      </c>
    </row>
    <row r="181" spans="1:11" x14ac:dyDescent="0.2">
      <c r="A181" t="s">
        <v>1164</v>
      </c>
      <c r="B181" t="s">
        <v>1165</v>
      </c>
      <c r="C181" t="s">
        <v>1166</v>
      </c>
      <c r="D181" t="s">
        <v>1167</v>
      </c>
      <c r="F181" t="s">
        <v>1168</v>
      </c>
      <c r="G181">
        <v>50164</v>
      </c>
      <c r="H181" t="s">
        <v>1169</v>
      </c>
      <c r="J181" t="s">
        <v>393</v>
      </c>
      <c r="K181" t="s">
        <v>1170</v>
      </c>
    </row>
    <row r="182" spans="1:11" x14ac:dyDescent="0.2">
      <c r="A182" t="s">
        <v>1171</v>
      </c>
      <c r="B182" t="s">
        <v>1172</v>
      </c>
      <c r="C182" t="s">
        <v>1173</v>
      </c>
      <c r="D182" t="s">
        <v>299</v>
      </c>
      <c r="F182" t="s">
        <v>1174</v>
      </c>
      <c r="G182">
        <v>50162</v>
      </c>
      <c r="H182" t="s">
        <v>1175</v>
      </c>
      <c r="J182" t="s">
        <v>1176</v>
      </c>
      <c r="K182" t="s">
        <v>1177</v>
      </c>
    </row>
    <row r="183" spans="1:11" x14ac:dyDescent="0.2">
      <c r="A183" t="s">
        <v>1178</v>
      </c>
      <c r="B183" t="s">
        <v>1179</v>
      </c>
      <c r="C183" t="s">
        <v>1180</v>
      </c>
      <c r="D183" t="s">
        <v>602</v>
      </c>
      <c r="F183" t="s">
        <v>1181</v>
      </c>
      <c r="G183">
        <v>68</v>
      </c>
      <c r="H183" t="s">
        <v>1182</v>
      </c>
      <c r="K183" t="s">
        <v>119</v>
      </c>
    </row>
    <row r="184" spans="1:11" x14ac:dyDescent="0.2">
      <c r="A184" t="s">
        <v>1183</v>
      </c>
      <c r="B184" t="s">
        <v>1184</v>
      </c>
      <c r="C184" t="s">
        <v>345</v>
      </c>
      <c r="D184" t="s">
        <v>346</v>
      </c>
      <c r="F184" t="s">
        <v>1185</v>
      </c>
      <c r="G184">
        <v>41</v>
      </c>
      <c r="H184" t="s">
        <v>1186</v>
      </c>
      <c r="J184" t="s">
        <v>1187</v>
      </c>
      <c r="K184" t="s">
        <v>1188</v>
      </c>
    </row>
    <row r="185" spans="1:11" x14ac:dyDescent="0.2">
      <c r="A185" t="s">
        <v>1189</v>
      </c>
      <c r="B185" t="s">
        <v>1190</v>
      </c>
      <c r="C185" t="s">
        <v>854</v>
      </c>
      <c r="D185" t="s">
        <v>855</v>
      </c>
      <c r="F185" t="s">
        <v>1191</v>
      </c>
      <c r="G185">
        <v>100088</v>
      </c>
      <c r="H185" t="s">
        <v>1192</v>
      </c>
      <c r="J185" t="s">
        <v>1193</v>
      </c>
    </row>
    <row r="186" spans="1:11" x14ac:dyDescent="0.2">
      <c r="A186" t="s">
        <v>1194</v>
      </c>
      <c r="B186" t="s">
        <v>1195</v>
      </c>
      <c r="C186" t="s">
        <v>292</v>
      </c>
      <c r="D186" t="s">
        <v>110</v>
      </c>
      <c r="F186" t="s">
        <v>1196</v>
      </c>
      <c r="G186">
        <v>100095</v>
      </c>
      <c r="K186" t="s">
        <v>1197</v>
      </c>
    </row>
    <row r="187" spans="1:11" x14ac:dyDescent="0.2">
      <c r="A187" t="s">
        <v>1198</v>
      </c>
      <c r="B187" t="s">
        <v>1199</v>
      </c>
      <c r="C187" t="s">
        <v>474</v>
      </c>
      <c r="D187" t="s">
        <v>110</v>
      </c>
      <c r="F187" t="s">
        <v>1200</v>
      </c>
      <c r="G187">
        <v>100101</v>
      </c>
      <c r="H187" t="s">
        <v>1201</v>
      </c>
      <c r="J187" t="s">
        <v>1202</v>
      </c>
      <c r="K187" t="s">
        <v>1203</v>
      </c>
    </row>
    <row r="188" spans="1:11" x14ac:dyDescent="0.2">
      <c r="A188" t="s">
        <v>1204</v>
      </c>
      <c r="B188" t="s">
        <v>1205</v>
      </c>
      <c r="C188" t="s">
        <v>1206</v>
      </c>
      <c r="D188" t="s">
        <v>306</v>
      </c>
      <c r="F188" t="s">
        <v>1207</v>
      </c>
      <c r="G188">
        <v>50420</v>
      </c>
      <c r="H188" t="s">
        <v>1208</v>
      </c>
      <c r="J188" t="s">
        <v>1209</v>
      </c>
      <c r="K188" t="s">
        <v>1210</v>
      </c>
    </row>
    <row r="189" spans="1:11" x14ac:dyDescent="0.2">
      <c r="A189" t="s">
        <v>1211</v>
      </c>
      <c r="B189" t="s">
        <v>1212</v>
      </c>
      <c r="C189" t="s">
        <v>765</v>
      </c>
      <c r="D189" t="s">
        <v>761</v>
      </c>
      <c r="F189" t="s">
        <v>1213</v>
      </c>
      <c r="G189">
        <v>100248</v>
      </c>
      <c r="H189" t="s">
        <v>1214</v>
      </c>
      <c r="J189" t="s">
        <v>1215</v>
      </c>
      <c r="K189" t="s">
        <v>1216</v>
      </c>
    </row>
    <row r="190" spans="1:11" x14ac:dyDescent="0.2">
      <c r="A190" t="s">
        <v>1217</v>
      </c>
      <c r="B190" t="s">
        <v>1218</v>
      </c>
      <c r="D190" t="s">
        <v>285</v>
      </c>
      <c r="F190" t="s">
        <v>1219</v>
      </c>
      <c r="G190">
        <v>100106</v>
      </c>
      <c r="K190" t="s">
        <v>1220</v>
      </c>
    </row>
    <row r="191" spans="1:11" x14ac:dyDescent="0.2">
      <c r="A191" t="s">
        <v>1221</v>
      </c>
      <c r="B191" t="s">
        <v>1222</v>
      </c>
      <c r="C191" t="s">
        <v>1223</v>
      </c>
      <c r="D191" t="s">
        <v>299</v>
      </c>
      <c r="F191" t="s">
        <v>1224</v>
      </c>
      <c r="G191">
        <v>50163</v>
      </c>
      <c r="H191" t="s">
        <v>1175</v>
      </c>
      <c r="J191" t="s">
        <v>1225</v>
      </c>
      <c r="K191" t="s">
        <v>1177</v>
      </c>
    </row>
    <row r="192" spans="1:11" x14ac:dyDescent="0.2">
      <c r="A192" t="s">
        <v>1226</v>
      </c>
      <c r="B192" t="s">
        <v>1227</v>
      </c>
      <c r="C192" t="s">
        <v>1223</v>
      </c>
      <c r="D192" t="s">
        <v>299</v>
      </c>
      <c r="F192" t="s">
        <v>1228</v>
      </c>
      <c r="G192">
        <v>50449</v>
      </c>
      <c r="K192" t="s">
        <v>1229</v>
      </c>
    </row>
    <row r="193" spans="1:11" x14ac:dyDescent="0.2">
      <c r="A193" t="s">
        <v>1230</v>
      </c>
      <c r="B193" t="s">
        <v>1231</v>
      </c>
      <c r="C193" t="s">
        <v>1232</v>
      </c>
      <c r="D193" t="s">
        <v>306</v>
      </c>
      <c r="F193" t="s">
        <v>1233</v>
      </c>
      <c r="G193">
        <v>50301</v>
      </c>
      <c r="H193" t="s">
        <v>1234</v>
      </c>
      <c r="J193" t="s">
        <v>1235</v>
      </c>
      <c r="K193" t="s">
        <v>1236</v>
      </c>
    </row>
    <row r="194" spans="1:11" x14ac:dyDescent="0.2">
      <c r="A194" t="s">
        <v>1237</v>
      </c>
      <c r="B194" t="s">
        <v>1238</v>
      </c>
      <c r="D194" t="s">
        <v>454</v>
      </c>
      <c r="F194" t="s">
        <v>1239</v>
      </c>
      <c r="G194">
        <v>10</v>
      </c>
      <c r="H194" t="s">
        <v>1240</v>
      </c>
      <c r="J194" t="s">
        <v>1235</v>
      </c>
      <c r="K194" t="s">
        <v>1236</v>
      </c>
    </row>
    <row r="195" spans="1:11" x14ac:dyDescent="0.2">
      <c r="A195" t="s">
        <v>1241</v>
      </c>
      <c r="B195" t="s">
        <v>1242</v>
      </c>
      <c r="C195" t="s">
        <v>1243</v>
      </c>
      <c r="D195" t="s">
        <v>110</v>
      </c>
      <c r="F195" t="s">
        <v>1244</v>
      </c>
      <c r="G195">
        <v>50210</v>
      </c>
      <c r="H195" t="s">
        <v>1245</v>
      </c>
      <c r="J195" t="s">
        <v>159</v>
      </c>
      <c r="K195" t="s">
        <v>1246</v>
      </c>
    </row>
    <row r="196" spans="1:11" x14ac:dyDescent="0.2">
      <c r="A196" t="s">
        <v>1247</v>
      </c>
      <c r="B196" t="s">
        <v>1248</v>
      </c>
      <c r="C196" t="s">
        <v>1249</v>
      </c>
      <c r="D196" t="s">
        <v>306</v>
      </c>
      <c r="F196" t="s">
        <v>1250</v>
      </c>
      <c r="G196">
        <v>85</v>
      </c>
      <c r="H196" t="s">
        <v>1251</v>
      </c>
      <c r="J196" t="s">
        <v>1252</v>
      </c>
    </row>
    <row r="197" spans="1:11" x14ac:dyDescent="0.2">
      <c r="A197" t="s">
        <v>1253</v>
      </c>
      <c r="B197" t="s">
        <v>1254</v>
      </c>
      <c r="C197" t="s">
        <v>1255</v>
      </c>
      <c r="D197" t="s">
        <v>110</v>
      </c>
      <c r="F197" t="s">
        <v>1256</v>
      </c>
      <c r="G197">
        <v>50279</v>
      </c>
      <c r="H197" t="s">
        <v>1257</v>
      </c>
      <c r="J197" t="s">
        <v>654</v>
      </c>
      <c r="K197" t="s">
        <v>1258</v>
      </c>
    </row>
    <row r="198" spans="1:11" x14ac:dyDescent="0.2">
      <c r="A198" t="s">
        <v>1259</v>
      </c>
      <c r="B198" t="s">
        <v>1260</v>
      </c>
      <c r="C198" t="s">
        <v>1261</v>
      </c>
      <c r="D198" t="s">
        <v>1262</v>
      </c>
      <c r="F198" t="s">
        <v>1263</v>
      </c>
      <c r="G198">
        <v>50039</v>
      </c>
      <c r="H198" t="s">
        <v>1264</v>
      </c>
      <c r="J198" t="s">
        <v>110</v>
      </c>
    </row>
    <row r="199" spans="1:11" x14ac:dyDescent="0.2">
      <c r="A199" t="s">
        <v>1265</v>
      </c>
      <c r="B199" t="s">
        <v>1266</v>
      </c>
      <c r="C199" t="s">
        <v>431</v>
      </c>
      <c r="D199" t="s">
        <v>432</v>
      </c>
      <c r="F199" t="s">
        <v>1267</v>
      </c>
      <c r="G199">
        <v>100247</v>
      </c>
      <c r="H199" t="s">
        <v>1268</v>
      </c>
      <c r="J199" t="s">
        <v>1269</v>
      </c>
      <c r="K199" t="s">
        <v>1270</v>
      </c>
    </row>
    <row r="200" spans="1:11" x14ac:dyDescent="0.2">
      <c r="A200" t="s">
        <v>1271</v>
      </c>
      <c r="B200" t="s">
        <v>1272</v>
      </c>
      <c r="F200" t="s">
        <v>1273</v>
      </c>
      <c r="G200">
        <v>100244</v>
      </c>
      <c r="H200" t="s">
        <v>1274</v>
      </c>
      <c r="J200" t="s">
        <v>1275</v>
      </c>
      <c r="K200" t="s">
        <v>1276</v>
      </c>
    </row>
    <row r="201" spans="1:11" x14ac:dyDescent="0.2">
      <c r="A201" t="s">
        <v>1277</v>
      </c>
      <c r="B201" t="s">
        <v>1278</v>
      </c>
      <c r="C201" t="s">
        <v>1249</v>
      </c>
      <c r="D201" t="s">
        <v>306</v>
      </c>
      <c r="F201" t="s">
        <v>1279</v>
      </c>
      <c r="G201">
        <v>100239</v>
      </c>
      <c r="H201" t="s">
        <v>1268</v>
      </c>
      <c r="J201" t="s">
        <v>1269</v>
      </c>
      <c r="K201" t="s">
        <v>1280</v>
      </c>
    </row>
    <row r="202" spans="1:11" x14ac:dyDescent="0.2">
      <c r="A202" t="s">
        <v>1281</v>
      </c>
      <c r="B202" t="s">
        <v>1282</v>
      </c>
      <c r="D202" t="s">
        <v>110</v>
      </c>
      <c r="F202" t="s">
        <v>1283</v>
      </c>
      <c r="G202">
        <v>50349</v>
      </c>
      <c r="H202" t="s">
        <v>1284</v>
      </c>
      <c r="J202" t="s">
        <v>105</v>
      </c>
      <c r="K202" t="s">
        <v>1285</v>
      </c>
    </row>
    <row r="203" spans="1:11" x14ac:dyDescent="0.2">
      <c r="A203" t="s">
        <v>1286</v>
      </c>
      <c r="B203" t="s">
        <v>1287</v>
      </c>
      <c r="C203" t="s">
        <v>1249</v>
      </c>
      <c r="D203" t="s">
        <v>306</v>
      </c>
      <c r="F203" t="s">
        <v>1288</v>
      </c>
      <c r="G203">
        <v>100201</v>
      </c>
      <c r="H203" t="s">
        <v>1289</v>
      </c>
      <c r="J203" t="s">
        <v>1290</v>
      </c>
      <c r="K203" t="s">
        <v>1291</v>
      </c>
    </row>
    <row r="204" spans="1:11" x14ac:dyDescent="0.2">
      <c r="A204" t="s">
        <v>1292</v>
      </c>
      <c r="B204" t="s">
        <v>1293</v>
      </c>
      <c r="C204" t="s">
        <v>907</v>
      </c>
      <c r="D204" t="s">
        <v>306</v>
      </c>
      <c r="F204" t="s">
        <v>1294</v>
      </c>
      <c r="G204">
        <v>50041</v>
      </c>
      <c r="H204" t="s">
        <v>1295</v>
      </c>
      <c r="J204" t="s">
        <v>1296</v>
      </c>
    </row>
    <row r="205" spans="1:11" x14ac:dyDescent="0.2">
      <c r="A205" t="s">
        <v>1297</v>
      </c>
      <c r="B205" t="s">
        <v>1298</v>
      </c>
      <c r="C205" t="s">
        <v>1299</v>
      </c>
      <c r="D205" t="s">
        <v>1300</v>
      </c>
      <c r="F205" t="s">
        <v>1301</v>
      </c>
      <c r="G205">
        <v>50</v>
      </c>
      <c r="H205" t="s">
        <v>1302</v>
      </c>
      <c r="J205" t="s">
        <v>1303</v>
      </c>
      <c r="K205" t="s">
        <v>1304</v>
      </c>
    </row>
    <row r="206" spans="1:11" x14ac:dyDescent="0.2">
      <c r="A206" t="s">
        <v>601</v>
      </c>
      <c r="B206" t="s">
        <v>1305</v>
      </c>
      <c r="C206" t="s">
        <v>1306</v>
      </c>
      <c r="D206" t="s">
        <v>110</v>
      </c>
      <c r="F206" t="s">
        <v>1307</v>
      </c>
      <c r="G206">
        <v>12</v>
      </c>
      <c r="K206" t="s">
        <v>1308</v>
      </c>
    </row>
    <row r="207" spans="1:11" x14ac:dyDescent="0.2">
      <c r="A207" t="s">
        <v>1309</v>
      </c>
      <c r="B207" t="s">
        <v>1310</v>
      </c>
      <c r="C207" t="s">
        <v>1311</v>
      </c>
      <c r="D207" t="s">
        <v>1312</v>
      </c>
      <c r="F207" t="s">
        <v>1313</v>
      </c>
      <c r="G207">
        <v>100140</v>
      </c>
      <c r="H207" t="s">
        <v>1314</v>
      </c>
      <c r="J207" t="s">
        <v>1315</v>
      </c>
      <c r="K207" t="s">
        <v>1316</v>
      </c>
    </row>
    <row r="208" spans="1:11" x14ac:dyDescent="0.2">
      <c r="A208" t="s">
        <v>1317</v>
      </c>
      <c r="B208" t="s">
        <v>1318</v>
      </c>
      <c r="D208" t="s">
        <v>592</v>
      </c>
      <c r="F208" t="s">
        <v>1319</v>
      </c>
      <c r="G208">
        <v>50270</v>
      </c>
      <c r="H208" t="s">
        <v>1320</v>
      </c>
      <c r="J208" t="s">
        <v>1321</v>
      </c>
      <c r="K208" t="s">
        <v>1322</v>
      </c>
    </row>
    <row r="209" spans="1:11" x14ac:dyDescent="0.2">
      <c r="A209" t="s">
        <v>1323</v>
      </c>
      <c r="B209" t="s">
        <v>1324</v>
      </c>
      <c r="C209" t="s">
        <v>1325</v>
      </c>
      <c r="D209" t="s">
        <v>1326</v>
      </c>
      <c r="F209" t="s">
        <v>1327</v>
      </c>
      <c r="G209">
        <v>100231</v>
      </c>
      <c r="H209" t="s">
        <v>1328</v>
      </c>
      <c r="J209" t="s">
        <v>957</v>
      </c>
      <c r="K209" t="s">
        <v>1329</v>
      </c>
    </row>
    <row r="210" spans="1:11" x14ac:dyDescent="0.2">
      <c r="A210" t="s">
        <v>1330</v>
      </c>
      <c r="B210" t="s">
        <v>1331</v>
      </c>
      <c r="C210" t="s">
        <v>999</v>
      </c>
      <c r="D210" t="s">
        <v>1000</v>
      </c>
      <c r="F210" t="s">
        <v>1332</v>
      </c>
      <c r="G210">
        <v>88</v>
      </c>
      <c r="H210" t="s">
        <v>1333</v>
      </c>
      <c r="J210" t="s">
        <v>1334</v>
      </c>
      <c r="K210" t="s">
        <v>1335</v>
      </c>
    </row>
    <row r="211" spans="1:11" x14ac:dyDescent="0.2">
      <c r="A211" t="s">
        <v>1336</v>
      </c>
      <c r="B211" t="s">
        <v>1337</v>
      </c>
      <c r="D211" t="s">
        <v>68</v>
      </c>
      <c r="F211" t="s">
        <v>1338</v>
      </c>
      <c r="G211">
        <v>36</v>
      </c>
      <c r="H211" t="s">
        <v>1339</v>
      </c>
    </row>
    <row r="212" spans="1:11" x14ac:dyDescent="0.2">
      <c r="A212" t="s">
        <v>1340</v>
      </c>
      <c r="B212" t="s">
        <v>1341</v>
      </c>
      <c r="C212" t="s">
        <v>1342</v>
      </c>
      <c r="D212" t="s">
        <v>110</v>
      </c>
      <c r="F212" t="s">
        <v>1343</v>
      </c>
      <c r="G212">
        <v>50098</v>
      </c>
      <c r="H212" t="s">
        <v>1344</v>
      </c>
      <c r="J212" t="s">
        <v>378</v>
      </c>
      <c r="K212" t="s">
        <v>1345</v>
      </c>
    </row>
    <row r="213" spans="1:11" x14ac:dyDescent="0.2">
      <c r="A213" t="s">
        <v>1346</v>
      </c>
      <c r="B213" t="s">
        <v>1347</v>
      </c>
      <c r="C213" t="s">
        <v>1348</v>
      </c>
      <c r="D213" t="s">
        <v>1349</v>
      </c>
      <c r="F213" t="s">
        <v>1350</v>
      </c>
      <c r="G213">
        <v>50311</v>
      </c>
      <c r="H213" t="s">
        <v>1351</v>
      </c>
      <c r="J213" t="s">
        <v>1352</v>
      </c>
      <c r="K213" t="s">
        <v>1353</v>
      </c>
    </row>
    <row r="214" spans="1:11" x14ac:dyDescent="0.2">
      <c r="A214" t="s">
        <v>1354</v>
      </c>
      <c r="B214" t="s">
        <v>1355</v>
      </c>
      <c r="C214" t="s">
        <v>87</v>
      </c>
      <c r="D214" t="s">
        <v>95</v>
      </c>
      <c r="F214" t="s">
        <v>1356</v>
      </c>
      <c r="G214">
        <v>50047</v>
      </c>
      <c r="H214" t="s">
        <v>1357</v>
      </c>
      <c r="J214" t="s">
        <v>1358</v>
      </c>
      <c r="K214" t="s">
        <v>1359</v>
      </c>
    </row>
    <row r="215" spans="1:11" x14ac:dyDescent="0.2">
      <c r="A215" t="s">
        <v>1360</v>
      </c>
      <c r="B215" t="s">
        <v>1361</v>
      </c>
      <c r="D215" t="s">
        <v>435</v>
      </c>
      <c r="F215" t="s">
        <v>1362</v>
      </c>
      <c r="G215">
        <v>73</v>
      </c>
      <c r="H215" t="s">
        <v>1363</v>
      </c>
      <c r="J215" t="s">
        <v>1364</v>
      </c>
      <c r="K215" t="s">
        <v>1365</v>
      </c>
    </row>
    <row r="216" spans="1:11" x14ac:dyDescent="0.2">
      <c r="A216" t="s">
        <v>1366</v>
      </c>
      <c r="B216" t="s">
        <v>1367</v>
      </c>
      <c r="D216" t="s">
        <v>435</v>
      </c>
      <c r="F216" t="s">
        <v>1368</v>
      </c>
      <c r="G216">
        <v>50307</v>
      </c>
      <c r="H216" t="s">
        <v>1369</v>
      </c>
      <c r="J216" t="s">
        <v>1370</v>
      </c>
    </row>
    <row r="217" spans="1:11" x14ac:dyDescent="0.2">
      <c r="A217" t="s">
        <v>1371</v>
      </c>
      <c r="B217" t="s">
        <v>1372</v>
      </c>
      <c r="C217" t="s">
        <v>1373</v>
      </c>
      <c r="D217" t="s">
        <v>306</v>
      </c>
      <c r="F217" t="s">
        <v>1374</v>
      </c>
      <c r="G217">
        <v>50148</v>
      </c>
      <c r="H217" t="s">
        <v>1375</v>
      </c>
      <c r="J217" t="s">
        <v>1376</v>
      </c>
    </row>
    <row r="218" spans="1:11" x14ac:dyDescent="0.2">
      <c r="A218" t="s">
        <v>1377</v>
      </c>
      <c r="B218" t="s">
        <v>1378</v>
      </c>
      <c r="C218" t="s">
        <v>1379</v>
      </c>
      <c r="D218" t="s">
        <v>1380</v>
      </c>
      <c r="F218" t="s">
        <v>1381</v>
      </c>
      <c r="G218">
        <v>50376</v>
      </c>
      <c r="K218" t="s">
        <v>1382</v>
      </c>
    </row>
    <row r="219" spans="1:11" x14ac:dyDescent="0.2">
      <c r="A219" t="s">
        <v>1383</v>
      </c>
      <c r="B219" t="s">
        <v>1384</v>
      </c>
      <c r="C219" t="s">
        <v>765</v>
      </c>
      <c r="D219" t="s">
        <v>761</v>
      </c>
      <c r="F219" t="s">
        <v>1385</v>
      </c>
      <c r="G219">
        <v>53</v>
      </c>
    </row>
    <row r="220" spans="1:11" x14ac:dyDescent="0.2">
      <c r="A220" t="s">
        <v>1386</v>
      </c>
      <c r="B220" t="s">
        <v>1387</v>
      </c>
      <c r="C220" t="s">
        <v>584</v>
      </c>
      <c r="D220" t="s">
        <v>585</v>
      </c>
      <c r="F220" t="s">
        <v>1388</v>
      </c>
      <c r="G220">
        <v>100155</v>
      </c>
      <c r="H220" t="s">
        <v>1389</v>
      </c>
      <c r="J220" t="s">
        <v>110</v>
      </c>
      <c r="K220" t="s">
        <v>1390</v>
      </c>
    </row>
    <row r="221" spans="1:11" x14ac:dyDescent="0.2">
      <c r="A221" t="s">
        <v>1391</v>
      </c>
      <c r="B221" t="s">
        <v>1392</v>
      </c>
      <c r="C221" t="s">
        <v>80</v>
      </c>
      <c r="D221" t="s">
        <v>81</v>
      </c>
      <c r="F221" t="s">
        <v>1393</v>
      </c>
      <c r="G221">
        <v>100169</v>
      </c>
      <c r="H221" t="s">
        <v>1394</v>
      </c>
      <c r="J221" t="s">
        <v>110</v>
      </c>
      <c r="K221" t="s">
        <v>1395</v>
      </c>
    </row>
    <row r="222" spans="1:11" x14ac:dyDescent="0.2">
      <c r="A222" t="s">
        <v>1396</v>
      </c>
      <c r="B222" t="s">
        <v>1397</v>
      </c>
      <c r="C222" t="s">
        <v>1398</v>
      </c>
      <c r="D222" t="s">
        <v>1399</v>
      </c>
      <c r="F222" t="s">
        <v>1400</v>
      </c>
      <c r="G222">
        <v>50217</v>
      </c>
      <c r="H222" t="s">
        <v>1401</v>
      </c>
      <c r="J222" t="s">
        <v>1402</v>
      </c>
      <c r="K222" t="s">
        <v>1403</v>
      </c>
    </row>
    <row r="223" spans="1:11" x14ac:dyDescent="0.2">
      <c r="A223" t="s">
        <v>1404</v>
      </c>
      <c r="B223" t="s">
        <v>1405</v>
      </c>
      <c r="C223" t="s">
        <v>356</v>
      </c>
      <c r="D223" t="s">
        <v>357</v>
      </c>
      <c r="F223" t="s">
        <v>1406</v>
      </c>
      <c r="G223">
        <v>100221</v>
      </c>
      <c r="H223" t="s">
        <v>1407</v>
      </c>
      <c r="J223" t="s">
        <v>1014</v>
      </c>
      <c r="K223" t="s">
        <v>1408</v>
      </c>
    </row>
    <row r="224" spans="1:11" x14ac:dyDescent="0.2">
      <c r="A224" t="s">
        <v>1409</v>
      </c>
      <c r="B224" t="s">
        <v>1410</v>
      </c>
      <c r="C224" t="s">
        <v>1411</v>
      </c>
      <c r="D224" t="s">
        <v>992</v>
      </c>
      <c r="F224" t="s">
        <v>1412</v>
      </c>
      <c r="G224">
        <v>50395</v>
      </c>
      <c r="H224" t="s">
        <v>1413</v>
      </c>
      <c r="J224" t="s">
        <v>521</v>
      </c>
      <c r="K224" t="s">
        <v>1414</v>
      </c>
    </row>
    <row r="225" spans="1:11" x14ac:dyDescent="0.2">
      <c r="A225" t="s">
        <v>1415</v>
      </c>
      <c r="B225" t="s">
        <v>1416</v>
      </c>
      <c r="C225" t="s">
        <v>1417</v>
      </c>
      <c r="D225" t="s">
        <v>1418</v>
      </c>
      <c r="F225" t="s">
        <v>1419</v>
      </c>
      <c r="G225">
        <v>50327</v>
      </c>
      <c r="K225" t="s">
        <v>964</v>
      </c>
    </row>
    <row r="226" spans="1:11" x14ac:dyDescent="0.2">
      <c r="A226" t="s">
        <v>1420</v>
      </c>
      <c r="B226" t="s">
        <v>1421</v>
      </c>
      <c r="C226" t="s">
        <v>1422</v>
      </c>
      <c r="D226" t="s">
        <v>91</v>
      </c>
      <c r="F226" t="s">
        <v>1423</v>
      </c>
      <c r="G226">
        <v>65</v>
      </c>
      <c r="H226" t="s">
        <v>1424</v>
      </c>
      <c r="J226" t="s">
        <v>975</v>
      </c>
      <c r="K226" t="s">
        <v>1425</v>
      </c>
    </row>
    <row r="227" spans="1:11" x14ac:dyDescent="0.2">
      <c r="A227" t="s">
        <v>1426</v>
      </c>
      <c r="B227" t="s">
        <v>1427</v>
      </c>
      <c r="C227" t="s">
        <v>1428</v>
      </c>
      <c r="D227" t="s">
        <v>1429</v>
      </c>
      <c r="F227" t="s">
        <v>1430</v>
      </c>
      <c r="G227">
        <v>75</v>
      </c>
      <c r="H227" t="s">
        <v>1431</v>
      </c>
      <c r="J227" t="s">
        <v>1432</v>
      </c>
      <c r="K227" t="s">
        <v>1433</v>
      </c>
    </row>
    <row r="228" spans="1:11" x14ac:dyDescent="0.2">
      <c r="A228" t="s">
        <v>1434</v>
      </c>
      <c r="B228" t="s">
        <v>1435</v>
      </c>
      <c r="C228" t="s">
        <v>1436</v>
      </c>
      <c r="D228" t="s">
        <v>378</v>
      </c>
      <c r="F228" t="s">
        <v>1437</v>
      </c>
      <c r="G228">
        <v>1</v>
      </c>
      <c r="H228" t="s">
        <v>1438</v>
      </c>
      <c r="K228" t="s">
        <v>1439</v>
      </c>
    </row>
    <row r="229" spans="1:11" x14ac:dyDescent="0.2">
      <c r="A229" t="s">
        <v>1440</v>
      </c>
      <c r="B229" t="s">
        <v>1441</v>
      </c>
      <c r="C229" t="s">
        <v>1442</v>
      </c>
      <c r="D229" t="s">
        <v>1443</v>
      </c>
      <c r="F229" t="s">
        <v>1444</v>
      </c>
      <c r="G229">
        <v>14</v>
      </c>
      <c r="H229" t="s">
        <v>1445</v>
      </c>
      <c r="J229" t="s">
        <v>199</v>
      </c>
      <c r="K229" t="s">
        <v>1446</v>
      </c>
    </row>
    <row r="230" spans="1:11" x14ac:dyDescent="0.2">
      <c r="A230" t="s">
        <v>1447</v>
      </c>
      <c r="B230" t="s">
        <v>1448</v>
      </c>
      <c r="C230" t="s">
        <v>1428</v>
      </c>
      <c r="D230" t="s">
        <v>1429</v>
      </c>
      <c r="F230" t="s">
        <v>1449</v>
      </c>
      <c r="G230">
        <v>50275</v>
      </c>
      <c r="H230" t="s">
        <v>1450</v>
      </c>
      <c r="J230" t="s">
        <v>1451</v>
      </c>
      <c r="K230" t="s">
        <v>1452</v>
      </c>
    </row>
    <row r="231" spans="1:11" x14ac:dyDescent="0.2">
      <c r="A231" t="s">
        <v>1453</v>
      </c>
      <c r="B231" t="s">
        <v>1454</v>
      </c>
      <c r="C231" t="s">
        <v>1455</v>
      </c>
      <c r="D231" t="s">
        <v>621</v>
      </c>
      <c r="F231" t="s">
        <v>1456</v>
      </c>
      <c r="G231">
        <v>100170</v>
      </c>
      <c r="H231" t="s">
        <v>1457</v>
      </c>
      <c r="J231" t="s">
        <v>159</v>
      </c>
      <c r="K231" t="s">
        <v>1458</v>
      </c>
    </row>
    <row r="232" spans="1:11" x14ac:dyDescent="0.2">
      <c r="A232" t="s">
        <v>1459</v>
      </c>
      <c r="B232" t="s">
        <v>1460</v>
      </c>
      <c r="C232" t="s">
        <v>1461</v>
      </c>
      <c r="D232" t="s">
        <v>306</v>
      </c>
      <c r="F232" t="s">
        <v>1462</v>
      </c>
      <c r="G232">
        <v>50248</v>
      </c>
      <c r="H232" t="s">
        <v>1463</v>
      </c>
      <c r="J232" t="s">
        <v>975</v>
      </c>
      <c r="K232" t="s">
        <v>1464</v>
      </c>
    </row>
    <row r="233" spans="1:11" x14ac:dyDescent="0.2">
      <c r="A233" t="s">
        <v>1465</v>
      </c>
      <c r="B233" t="s">
        <v>1466</v>
      </c>
      <c r="C233" t="s">
        <v>1461</v>
      </c>
      <c r="D233" t="s">
        <v>306</v>
      </c>
      <c r="F233" t="s">
        <v>1467</v>
      </c>
      <c r="G233">
        <v>50399</v>
      </c>
      <c r="K233" t="s">
        <v>1468</v>
      </c>
    </row>
    <row r="234" spans="1:11" x14ac:dyDescent="0.2">
      <c r="A234" t="s">
        <v>1469</v>
      </c>
      <c r="B234" t="s">
        <v>1470</v>
      </c>
      <c r="C234" t="s">
        <v>1471</v>
      </c>
      <c r="D234" t="s">
        <v>822</v>
      </c>
      <c r="F234" t="s">
        <v>1472</v>
      </c>
      <c r="G234">
        <v>50468</v>
      </c>
      <c r="H234" t="s">
        <v>1473</v>
      </c>
      <c r="J234" t="s">
        <v>1474</v>
      </c>
      <c r="K234" t="s">
        <v>1475</v>
      </c>
    </row>
    <row r="235" spans="1:11" x14ac:dyDescent="0.2">
      <c r="A235" t="s">
        <v>1476</v>
      </c>
      <c r="B235" t="s">
        <v>1477</v>
      </c>
      <c r="C235" t="s">
        <v>1478</v>
      </c>
      <c r="D235" t="s">
        <v>1479</v>
      </c>
      <c r="F235" t="s">
        <v>1480</v>
      </c>
      <c r="G235">
        <v>100173</v>
      </c>
      <c r="H235" t="s">
        <v>1481</v>
      </c>
      <c r="J235" t="s">
        <v>443</v>
      </c>
      <c r="K235" t="s">
        <v>1482</v>
      </c>
    </row>
    <row r="236" spans="1:11" x14ac:dyDescent="0.2">
      <c r="A236" t="s">
        <v>1483</v>
      </c>
      <c r="B236" t="s">
        <v>1484</v>
      </c>
      <c r="C236" t="s">
        <v>1485</v>
      </c>
      <c r="D236" t="s">
        <v>1486</v>
      </c>
      <c r="F236" t="s">
        <v>1487</v>
      </c>
      <c r="G236">
        <v>100197</v>
      </c>
      <c r="H236" t="s">
        <v>1488</v>
      </c>
      <c r="J236" t="s">
        <v>159</v>
      </c>
      <c r="K236" t="s">
        <v>1489</v>
      </c>
    </row>
    <row r="237" spans="1:11" x14ac:dyDescent="0.2">
      <c r="A237" t="s">
        <v>1490</v>
      </c>
      <c r="B237" t="s">
        <v>1491</v>
      </c>
      <c r="C237" t="s">
        <v>1492</v>
      </c>
      <c r="D237" t="s">
        <v>91</v>
      </c>
      <c r="F237" t="s">
        <v>1493</v>
      </c>
      <c r="G237">
        <v>50320</v>
      </c>
      <c r="H237" t="s">
        <v>1494</v>
      </c>
      <c r="J237" t="s">
        <v>801</v>
      </c>
      <c r="K237" t="s">
        <v>1495</v>
      </c>
    </row>
    <row r="238" spans="1:11" x14ac:dyDescent="0.2">
      <c r="A238" t="s">
        <v>1496</v>
      </c>
      <c r="B238" t="s">
        <v>1497</v>
      </c>
      <c r="C238" t="s">
        <v>1498</v>
      </c>
      <c r="D238" t="s">
        <v>530</v>
      </c>
      <c r="F238" t="s">
        <v>1499</v>
      </c>
      <c r="G238">
        <v>8</v>
      </c>
      <c r="H238" t="s">
        <v>1500</v>
      </c>
      <c r="J238" t="s">
        <v>1501</v>
      </c>
      <c r="K238" t="s">
        <v>1502</v>
      </c>
    </row>
    <row r="239" spans="1:11" x14ac:dyDescent="0.2">
      <c r="A239" t="s">
        <v>1503</v>
      </c>
      <c r="B239" t="s">
        <v>1504</v>
      </c>
      <c r="C239" t="s">
        <v>1505</v>
      </c>
      <c r="D239" t="s">
        <v>378</v>
      </c>
      <c r="F239" t="s">
        <v>1506</v>
      </c>
      <c r="G239">
        <v>50306</v>
      </c>
      <c r="H239" t="s">
        <v>1507</v>
      </c>
      <c r="J239" t="s">
        <v>1508</v>
      </c>
      <c r="K239" t="s">
        <v>1509</v>
      </c>
    </row>
    <row r="240" spans="1:11" x14ac:dyDescent="0.2">
      <c r="A240" t="s">
        <v>1510</v>
      </c>
      <c r="B240" t="s">
        <v>1511</v>
      </c>
      <c r="C240" t="s">
        <v>1512</v>
      </c>
      <c r="D240" t="s">
        <v>306</v>
      </c>
      <c r="F240" t="s">
        <v>1513</v>
      </c>
      <c r="G240">
        <v>49</v>
      </c>
      <c r="H240" t="s">
        <v>1514</v>
      </c>
      <c r="J240" t="s">
        <v>135</v>
      </c>
      <c r="K240" t="s">
        <v>1515</v>
      </c>
    </row>
    <row r="241" spans="1:11" x14ac:dyDescent="0.2">
      <c r="A241" t="s">
        <v>1516</v>
      </c>
      <c r="B241" t="s">
        <v>1517</v>
      </c>
      <c r="C241" t="s">
        <v>1518</v>
      </c>
      <c r="D241" t="s">
        <v>110</v>
      </c>
      <c r="F241" t="s">
        <v>1519</v>
      </c>
      <c r="G241">
        <v>50266</v>
      </c>
      <c r="H241" t="s">
        <v>1520</v>
      </c>
      <c r="J241" t="s">
        <v>1521</v>
      </c>
    </row>
    <row r="242" spans="1:11" x14ac:dyDescent="0.2">
      <c r="A242" t="s">
        <v>1522</v>
      </c>
      <c r="B242" t="s">
        <v>1523</v>
      </c>
      <c r="C242" t="s">
        <v>1524</v>
      </c>
      <c r="D242" t="s">
        <v>440</v>
      </c>
      <c r="F242" t="s">
        <v>1525</v>
      </c>
      <c r="G242">
        <v>50462</v>
      </c>
      <c r="H242" t="s">
        <v>1526</v>
      </c>
      <c r="J242" t="s">
        <v>299</v>
      </c>
      <c r="K242" t="s">
        <v>1527</v>
      </c>
    </row>
    <row r="243" spans="1:11" x14ac:dyDescent="0.2">
      <c r="A243" t="s">
        <v>1528</v>
      </c>
      <c r="B243" t="s">
        <v>1529</v>
      </c>
      <c r="C243" t="s">
        <v>1530</v>
      </c>
      <c r="D243" t="s">
        <v>1531</v>
      </c>
      <c r="F243" t="s">
        <v>1532</v>
      </c>
      <c r="G243">
        <v>50001</v>
      </c>
      <c r="H243" t="s">
        <v>1533</v>
      </c>
      <c r="J243" t="s">
        <v>378</v>
      </c>
    </row>
    <row r="244" spans="1:11" x14ac:dyDescent="0.2">
      <c r="A244" t="s">
        <v>1534</v>
      </c>
      <c r="B244" t="s">
        <v>1535</v>
      </c>
      <c r="C244" t="s">
        <v>1530</v>
      </c>
      <c r="D244" t="s">
        <v>1531</v>
      </c>
      <c r="F244" t="s">
        <v>1536</v>
      </c>
      <c r="G244">
        <v>50436</v>
      </c>
      <c r="H244" t="s">
        <v>1537</v>
      </c>
      <c r="J244" t="s">
        <v>1034</v>
      </c>
      <c r="K244" t="s">
        <v>1538</v>
      </c>
    </row>
    <row r="245" spans="1:11" x14ac:dyDescent="0.2">
      <c r="A245" t="s">
        <v>1539</v>
      </c>
      <c r="B245" t="s">
        <v>1540</v>
      </c>
      <c r="C245" t="s">
        <v>1541</v>
      </c>
      <c r="D245" t="s">
        <v>822</v>
      </c>
      <c r="F245" t="s">
        <v>1542</v>
      </c>
      <c r="G245">
        <v>50364</v>
      </c>
      <c r="K245" t="s">
        <v>1543</v>
      </c>
    </row>
    <row r="246" spans="1:11" x14ac:dyDescent="0.2">
      <c r="A246" t="s">
        <v>1544</v>
      </c>
      <c r="B246" t="s">
        <v>1545</v>
      </c>
      <c r="D246" t="s">
        <v>435</v>
      </c>
      <c r="F246" t="s">
        <v>1546</v>
      </c>
      <c r="G246">
        <v>50460</v>
      </c>
      <c r="H246" t="s">
        <v>1547</v>
      </c>
      <c r="J246" t="s">
        <v>1418</v>
      </c>
      <c r="K246" t="s">
        <v>1548</v>
      </c>
    </row>
    <row r="247" spans="1:11" x14ac:dyDescent="0.2">
      <c r="A247" t="s">
        <v>1549</v>
      </c>
      <c r="B247" t="s">
        <v>1550</v>
      </c>
      <c r="D247" t="s">
        <v>435</v>
      </c>
      <c r="F247" t="s">
        <v>1551</v>
      </c>
      <c r="G247">
        <v>50194</v>
      </c>
      <c r="H247" t="s">
        <v>1552</v>
      </c>
      <c r="J247" t="s">
        <v>181</v>
      </c>
      <c r="K247" t="s">
        <v>1553</v>
      </c>
    </row>
    <row r="248" spans="1:11" x14ac:dyDescent="0.2">
      <c r="A248" t="s">
        <v>1554</v>
      </c>
      <c r="B248" t="s">
        <v>1555</v>
      </c>
      <c r="C248" t="s">
        <v>723</v>
      </c>
      <c r="D248" t="s">
        <v>724</v>
      </c>
      <c r="F248" t="s">
        <v>1556</v>
      </c>
      <c r="G248">
        <v>100235</v>
      </c>
      <c r="H248" t="s">
        <v>1557</v>
      </c>
      <c r="J248" t="s">
        <v>1558</v>
      </c>
    </row>
    <row r="249" spans="1:11" x14ac:dyDescent="0.2">
      <c r="A249" t="s">
        <v>1559</v>
      </c>
      <c r="B249" t="s">
        <v>1560</v>
      </c>
      <c r="D249" t="s">
        <v>1561</v>
      </c>
      <c r="F249" t="s">
        <v>1562</v>
      </c>
      <c r="G249">
        <v>50259</v>
      </c>
      <c r="H249" t="s">
        <v>1563</v>
      </c>
      <c r="J249" t="s">
        <v>1564</v>
      </c>
      <c r="K249" t="s">
        <v>1565</v>
      </c>
    </row>
    <row r="250" spans="1:11" x14ac:dyDescent="0.2">
      <c r="A250" t="s">
        <v>1566</v>
      </c>
      <c r="B250" t="s">
        <v>1567</v>
      </c>
      <c r="C250" t="s">
        <v>1568</v>
      </c>
      <c r="D250" t="s">
        <v>1569</v>
      </c>
      <c r="F250" t="s">
        <v>1570</v>
      </c>
      <c r="G250">
        <v>100141</v>
      </c>
      <c r="H250" t="s">
        <v>1571</v>
      </c>
      <c r="J250" t="s">
        <v>1572</v>
      </c>
      <c r="K250" t="s">
        <v>1573</v>
      </c>
    </row>
    <row r="251" spans="1:11" x14ac:dyDescent="0.2">
      <c r="A251" t="s">
        <v>1574</v>
      </c>
      <c r="B251" t="s">
        <v>1575</v>
      </c>
      <c r="C251" t="s">
        <v>1249</v>
      </c>
      <c r="D251" t="s">
        <v>306</v>
      </c>
      <c r="F251" t="s">
        <v>1576</v>
      </c>
      <c r="G251">
        <v>42</v>
      </c>
      <c r="H251" t="s">
        <v>1577</v>
      </c>
      <c r="J251" t="s">
        <v>1578</v>
      </c>
      <c r="K251" t="s">
        <v>1579</v>
      </c>
    </row>
    <row r="252" spans="1:11" x14ac:dyDescent="0.2">
      <c r="A252" t="s">
        <v>1580</v>
      </c>
      <c r="B252" t="s">
        <v>1581</v>
      </c>
      <c r="C252" t="s">
        <v>1582</v>
      </c>
      <c r="D252" t="s">
        <v>110</v>
      </c>
      <c r="F252" t="s">
        <v>1583</v>
      </c>
      <c r="G252">
        <v>61</v>
      </c>
      <c r="H252" t="s">
        <v>1584</v>
      </c>
      <c r="J252" t="s">
        <v>1402</v>
      </c>
      <c r="K252" t="s">
        <v>1585</v>
      </c>
    </row>
    <row r="253" spans="1:11" x14ac:dyDescent="0.2">
      <c r="A253" t="s">
        <v>1586</v>
      </c>
      <c r="B253" t="s">
        <v>1587</v>
      </c>
      <c r="C253" t="s">
        <v>87</v>
      </c>
      <c r="D253" t="s">
        <v>88</v>
      </c>
      <c r="F253" t="s">
        <v>1588</v>
      </c>
      <c r="G253">
        <v>50233</v>
      </c>
      <c r="H253" t="s">
        <v>1589</v>
      </c>
      <c r="J253" t="s">
        <v>113</v>
      </c>
      <c r="K253" t="s">
        <v>1590</v>
      </c>
    </row>
    <row r="254" spans="1:11" x14ac:dyDescent="0.2">
      <c r="A254" t="s">
        <v>1591</v>
      </c>
      <c r="B254" t="s">
        <v>1592</v>
      </c>
      <c r="C254" t="s">
        <v>765</v>
      </c>
      <c r="D254" t="s">
        <v>761</v>
      </c>
      <c r="F254" t="s">
        <v>1593</v>
      </c>
      <c r="G254">
        <v>100259</v>
      </c>
      <c r="H254" t="s">
        <v>1594</v>
      </c>
      <c r="J254" t="s">
        <v>1595</v>
      </c>
      <c r="K254" t="s">
        <v>1596</v>
      </c>
    </row>
    <row r="255" spans="1:11" x14ac:dyDescent="0.2">
      <c r="A255" t="s">
        <v>1597</v>
      </c>
      <c r="B255" t="s">
        <v>1598</v>
      </c>
      <c r="C255" t="s">
        <v>765</v>
      </c>
      <c r="D255" t="s">
        <v>761</v>
      </c>
      <c r="F255" t="s">
        <v>1599</v>
      </c>
      <c r="G255">
        <v>50314</v>
      </c>
      <c r="H255" t="s">
        <v>1600</v>
      </c>
      <c r="J255" t="s">
        <v>1601</v>
      </c>
      <c r="K255" t="s">
        <v>1602</v>
      </c>
    </row>
    <row r="256" spans="1:11" x14ac:dyDescent="0.2">
      <c r="A256" t="s">
        <v>1603</v>
      </c>
      <c r="B256" t="s">
        <v>1604</v>
      </c>
      <c r="C256" t="s">
        <v>1605</v>
      </c>
      <c r="D256" t="s">
        <v>1606</v>
      </c>
      <c r="F256" t="s">
        <v>1607</v>
      </c>
      <c r="G256">
        <v>50255</v>
      </c>
      <c r="H256" t="s">
        <v>1608</v>
      </c>
      <c r="J256" t="s">
        <v>1609</v>
      </c>
      <c r="K256" t="s">
        <v>1610</v>
      </c>
    </row>
    <row r="257" spans="1:11" x14ac:dyDescent="0.2">
      <c r="A257" t="s">
        <v>1611</v>
      </c>
      <c r="B257" t="s">
        <v>1612</v>
      </c>
      <c r="D257" t="s">
        <v>68</v>
      </c>
      <c r="F257" t="s">
        <v>1613</v>
      </c>
      <c r="G257">
        <v>50196</v>
      </c>
      <c r="H257" t="s">
        <v>1608</v>
      </c>
      <c r="J257" t="s">
        <v>1609</v>
      </c>
      <c r="K257" t="s">
        <v>1614</v>
      </c>
    </row>
    <row r="258" spans="1:11" x14ac:dyDescent="0.2">
      <c r="A258" t="s">
        <v>1615</v>
      </c>
      <c r="B258" t="s">
        <v>1616</v>
      </c>
      <c r="C258" t="s">
        <v>765</v>
      </c>
      <c r="D258" t="s">
        <v>761</v>
      </c>
      <c r="F258" t="s">
        <v>1617</v>
      </c>
      <c r="G258">
        <v>28</v>
      </c>
      <c r="H258" t="s">
        <v>1618</v>
      </c>
      <c r="K258" t="s">
        <v>1619</v>
      </c>
    </row>
    <row r="259" spans="1:11" x14ac:dyDescent="0.2">
      <c r="A259" t="s">
        <v>1620</v>
      </c>
      <c r="B259" t="s">
        <v>1621</v>
      </c>
      <c r="C259" t="s">
        <v>1622</v>
      </c>
      <c r="D259" t="s">
        <v>299</v>
      </c>
      <c r="F259" t="s">
        <v>1623</v>
      </c>
      <c r="G259">
        <v>50207</v>
      </c>
      <c r="H259" t="s">
        <v>1624</v>
      </c>
      <c r="J259" t="s">
        <v>466</v>
      </c>
      <c r="K259" t="s">
        <v>1625</v>
      </c>
    </row>
    <row r="260" spans="1:11" x14ac:dyDescent="0.2">
      <c r="A260" t="s">
        <v>1626</v>
      </c>
      <c r="B260" t="s">
        <v>1627</v>
      </c>
      <c r="C260" t="s">
        <v>1628</v>
      </c>
      <c r="D260" t="s">
        <v>378</v>
      </c>
      <c r="F260" t="s">
        <v>1629</v>
      </c>
      <c r="G260">
        <v>50205</v>
      </c>
      <c r="H260" t="s">
        <v>1630</v>
      </c>
      <c r="J260" t="s">
        <v>1631</v>
      </c>
      <c r="K260" t="s">
        <v>1632</v>
      </c>
    </row>
    <row r="261" spans="1:11" x14ac:dyDescent="0.2">
      <c r="A261" t="s">
        <v>1633</v>
      </c>
      <c r="B261" t="s">
        <v>1634</v>
      </c>
      <c r="D261" t="s">
        <v>306</v>
      </c>
      <c r="F261" t="s">
        <v>1635</v>
      </c>
      <c r="G261">
        <v>50100</v>
      </c>
      <c r="H261" t="s">
        <v>1636</v>
      </c>
      <c r="J261" t="s">
        <v>306</v>
      </c>
      <c r="K261" t="s">
        <v>1637</v>
      </c>
    </row>
    <row r="262" spans="1:11" x14ac:dyDescent="0.2">
      <c r="A262" t="s">
        <v>1638</v>
      </c>
      <c r="B262" t="s">
        <v>1639</v>
      </c>
      <c r="D262" t="s">
        <v>306</v>
      </c>
      <c r="F262" t="s">
        <v>1640</v>
      </c>
      <c r="G262">
        <v>50154</v>
      </c>
      <c r="H262" t="s">
        <v>1641</v>
      </c>
      <c r="J262" t="s">
        <v>110</v>
      </c>
      <c r="K262" t="s">
        <v>1642</v>
      </c>
    </row>
    <row r="263" spans="1:11" x14ac:dyDescent="0.2">
      <c r="A263" t="s">
        <v>1643</v>
      </c>
      <c r="B263" t="s">
        <v>1644</v>
      </c>
      <c r="D263" t="s">
        <v>306</v>
      </c>
      <c r="F263" t="s">
        <v>1645</v>
      </c>
      <c r="G263">
        <v>100250</v>
      </c>
      <c r="H263" t="s">
        <v>1646</v>
      </c>
      <c r="J263" t="s">
        <v>159</v>
      </c>
    </row>
    <row r="264" spans="1:11" x14ac:dyDescent="0.2">
      <c r="A264" t="s">
        <v>1647</v>
      </c>
      <c r="B264" t="s">
        <v>1648</v>
      </c>
      <c r="C264" t="s">
        <v>1649</v>
      </c>
      <c r="D264" t="s">
        <v>299</v>
      </c>
      <c r="F264" t="s">
        <v>1650</v>
      </c>
      <c r="G264">
        <v>100224</v>
      </c>
      <c r="H264" t="s">
        <v>1651</v>
      </c>
      <c r="J264" t="s">
        <v>1652</v>
      </c>
      <c r="K264" t="s">
        <v>1653</v>
      </c>
    </row>
    <row r="265" spans="1:11" x14ac:dyDescent="0.2">
      <c r="A265" t="s">
        <v>1654</v>
      </c>
      <c r="B265" t="s">
        <v>1655</v>
      </c>
      <c r="C265" t="s">
        <v>1656</v>
      </c>
      <c r="D265" t="s">
        <v>102</v>
      </c>
      <c r="F265" t="s">
        <v>1657</v>
      </c>
      <c r="G265">
        <v>100212</v>
      </c>
      <c r="H265" t="s">
        <v>1658</v>
      </c>
      <c r="J265" t="s">
        <v>1659</v>
      </c>
      <c r="K265" t="s">
        <v>1660</v>
      </c>
    </row>
    <row r="266" spans="1:11" x14ac:dyDescent="0.2">
      <c r="A266" t="s">
        <v>1661</v>
      </c>
      <c r="B266" t="s">
        <v>1662</v>
      </c>
      <c r="C266" t="s">
        <v>1663</v>
      </c>
      <c r="D266" t="s">
        <v>1262</v>
      </c>
      <c r="F266" t="s">
        <v>1664</v>
      </c>
      <c r="G266">
        <v>93</v>
      </c>
    </row>
    <row r="267" spans="1:11" x14ac:dyDescent="0.2">
      <c r="A267" t="s">
        <v>1665</v>
      </c>
      <c r="B267" t="s">
        <v>1666</v>
      </c>
      <c r="C267" t="s">
        <v>765</v>
      </c>
      <c r="D267" t="s">
        <v>761</v>
      </c>
      <c r="F267" t="s">
        <v>1667</v>
      </c>
      <c r="G267">
        <v>50398</v>
      </c>
      <c r="H267" t="s">
        <v>1668</v>
      </c>
      <c r="J267" t="s">
        <v>1315</v>
      </c>
      <c r="K267" t="s">
        <v>1669</v>
      </c>
    </row>
    <row r="268" spans="1:11" x14ac:dyDescent="0.2">
      <c r="A268" t="s">
        <v>1670</v>
      </c>
      <c r="B268" t="s">
        <v>1671</v>
      </c>
      <c r="C268" t="s">
        <v>1672</v>
      </c>
      <c r="D268" t="s">
        <v>346</v>
      </c>
      <c r="F268" t="s">
        <v>1673</v>
      </c>
      <c r="G268">
        <v>50441</v>
      </c>
      <c r="H268" t="s">
        <v>1674</v>
      </c>
      <c r="J268" t="s">
        <v>110</v>
      </c>
      <c r="K268" t="s">
        <v>1675</v>
      </c>
    </row>
    <row r="269" spans="1:11" x14ac:dyDescent="0.2">
      <c r="A269" t="s">
        <v>1676</v>
      </c>
      <c r="B269" t="s">
        <v>1677</v>
      </c>
      <c r="C269" t="s">
        <v>765</v>
      </c>
      <c r="D269" t="s">
        <v>761</v>
      </c>
      <c r="F269" t="s">
        <v>1678</v>
      </c>
      <c r="G269">
        <v>50130</v>
      </c>
      <c r="H269" t="s">
        <v>1679</v>
      </c>
      <c r="J269" t="s">
        <v>1680</v>
      </c>
      <c r="K269" t="s">
        <v>1681</v>
      </c>
    </row>
    <row r="270" spans="1:11" x14ac:dyDescent="0.2">
      <c r="A270" t="s">
        <v>1682</v>
      </c>
      <c r="B270" t="s">
        <v>1683</v>
      </c>
      <c r="C270" t="s">
        <v>1684</v>
      </c>
      <c r="D270" t="s">
        <v>306</v>
      </c>
      <c r="F270" t="s">
        <v>1685</v>
      </c>
      <c r="G270">
        <v>71</v>
      </c>
      <c r="H270" t="s">
        <v>1686</v>
      </c>
      <c r="K270" t="s">
        <v>119</v>
      </c>
    </row>
    <row r="271" spans="1:11" x14ac:dyDescent="0.2">
      <c r="A271" t="s">
        <v>1687</v>
      </c>
      <c r="B271" t="s">
        <v>1688</v>
      </c>
      <c r="C271" t="s">
        <v>765</v>
      </c>
      <c r="D271" t="s">
        <v>761</v>
      </c>
      <c r="F271" t="s">
        <v>1689</v>
      </c>
      <c r="G271">
        <v>100121</v>
      </c>
      <c r="H271" t="s">
        <v>1690</v>
      </c>
      <c r="J271" t="s">
        <v>1691</v>
      </c>
      <c r="K271" t="s">
        <v>1692</v>
      </c>
    </row>
    <row r="272" spans="1:11" x14ac:dyDescent="0.2">
      <c r="A272" t="s">
        <v>1693</v>
      </c>
      <c r="B272" t="s">
        <v>1694</v>
      </c>
      <c r="C272" t="s">
        <v>1695</v>
      </c>
      <c r="D272" t="s">
        <v>1569</v>
      </c>
      <c r="F272" t="s">
        <v>1696</v>
      </c>
      <c r="G272">
        <v>100260</v>
      </c>
      <c r="H272" t="s">
        <v>1697</v>
      </c>
      <c r="J272" t="s">
        <v>251</v>
      </c>
      <c r="K272" t="s">
        <v>1698</v>
      </c>
    </row>
    <row r="273" spans="1:11" x14ac:dyDescent="0.2">
      <c r="A273" t="s">
        <v>1699</v>
      </c>
      <c r="B273" t="s">
        <v>1700</v>
      </c>
      <c r="C273" t="s">
        <v>1701</v>
      </c>
      <c r="D273" t="s">
        <v>1702</v>
      </c>
      <c r="F273" t="s">
        <v>1703</v>
      </c>
      <c r="G273">
        <v>50430</v>
      </c>
      <c r="H273" t="s">
        <v>1704</v>
      </c>
      <c r="J273" t="s">
        <v>1705</v>
      </c>
      <c r="K273" t="s">
        <v>1706</v>
      </c>
    </row>
    <row r="274" spans="1:11" x14ac:dyDescent="0.2">
      <c r="A274" t="s">
        <v>1707</v>
      </c>
      <c r="B274" t="s">
        <v>1708</v>
      </c>
      <c r="D274" t="s">
        <v>299</v>
      </c>
      <c r="F274" t="s">
        <v>1709</v>
      </c>
      <c r="G274">
        <v>100172</v>
      </c>
      <c r="H274" t="s">
        <v>1710</v>
      </c>
      <c r="J274" t="s">
        <v>1711</v>
      </c>
      <c r="K274" t="s">
        <v>1712</v>
      </c>
    </row>
    <row r="275" spans="1:11" x14ac:dyDescent="0.2">
      <c r="A275" t="s">
        <v>1713</v>
      </c>
      <c r="B275" t="s">
        <v>1714</v>
      </c>
      <c r="D275" t="s">
        <v>68</v>
      </c>
      <c r="F275" t="s">
        <v>1715</v>
      </c>
      <c r="G275">
        <v>50381</v>
      </c>
      <c r="H275" t="s">
        <v>1716</v>
      </c>
      <c r="J275" t="s">
        <v>110</v>
      </c>
      <c r="K275" t="s">
        <v>1717</v>
      </c>
    </row>
    <row r="276" spans="1:11" x14ac:dyDescent="0.2">
      <c r="A276" t="s">
        <v>1718</v>
      </c>
      <c r="B276" t="s">
        <v>1719</v>
      </c>
      <c r="D276" t="s">
        <v>299</v>
      </c>
      <c r="F276" t="s">
        <v>1720</v>
      </c>
      <c r="G276">
        <v>50408</v>
      </c>
      <c r="H276" t="s">
        <v>1721</v>
      </c>
      <c r="J276" t="s">
        <v>306</v>
      </c>
      <c r="K276" t="s">
        <v>1722</v>
      </c>
    </row>
    <row r="277" spans="1:11" x14ac:dyDescent="0.2">
      <c r="A277" t="s">
        <v>1723</v>
      </c>
      <c r="B277" t="s">
        <v>1724</v>
      </c>
      <c r="C277" t="s">
        <v>1725</v>
      </c>
      <c r="D277" t="s">
        <v>1726</v>
      </c>
      <c r="F277" t="s">
        <v>1727</v>
      </c>
      <c r="G277">
        <v>50298</v>
      </c>
      <c r="H277" t="s">
        <v>1728</v>
      </c>
      <c r="J277" t="s">
        <v>466</v>
      </c>
      <c r="K277" t="s">
        <v>1729</v>
      </c>
    </row>
    <row r="278" spans="1:11" x14ac:dyDescent="0.2">
      <c r="A278" t="s">
        <v>1730</v>
      </c>
      <c r="B278" t="s">
        <v>1731</v>
      </c>
      <c r="C278" t="s">
        <v>1732</v>
      </c>
      <c r="D278" t="s">
        <v>440</v>
      </c>
      <c r="F278" t="s">
        <v>1733</v>
      </c>
      <c r="G278">
        <v>50138</v>
      </c>
      <c r="H278" t="s">
        <v>1734</v>
      </c>
      <c r="J278" t="s">
        <v>1735</v>
      </c>
      <c r="K278" t="s">
        <v>1736</v>
      </c>
    </row>
    <row r="279" spans="1:11" x14ac:dyDescent="0.2">
      <c r="A279" t="s">
        <v>1737</v>
      </c>
      <c r="B279" t="s">
        <v>1738</v>
      </c>
      <c r="F279" t="s">
        <v>1739</v>
      </c>
      <c r="G279">
        <v>54</v>
      </c>
      <c r="H279" t="s">
        <v>1740</v>
      </c>
      <c r="J279" t="s">
        <v>466</v>
      </c>
      <c r="K279" t="s">
        <v>1741</v>
      </c>
    </row>
    <row r="280" spans="1:11" x14ac:dyDescent="0.2">
      <c r="A280" t="s">
        <v>1742</v>
      </c>
      <c r="B280" t="s">
        <v>1743</v>
      </c>
      <c r="C280" t="s">
        <v>846</v>
      </c>
      <c r="D280" t="s">
        <v>847</v>
      </c>
      <c r="F280" t="s">
        <v>1744</v>
      </c>
      <c r="G280">
        <v>50161</v>
      </c>
      <c r="H280" t="s">
        <v>1745</v>
      </c>
      <c r="J280" t="s">
        <v>794</v>
      </c>
      <c r="K280" t="s">
        <v>1746</v>
      </c>
    </row>
    <row r="281" spans="1:11" x14ac:dyDescent="0.2">
      <c r="A281" t="s">
        <v>875</v>
      </c>
      <c r="B281" t="s">
        <v>1747</v>
      </c>
      <c r="C281" t="s">
        <v>791</v>
      </c>
      <c r="D281" t="s">
        <v>306</v>
      </c>
      <c r="F281" t="s">
        <v>1748</v>
      </c>
      <c r="G281">
        <v>70</v>
      </c>
      <c r="H281" t="s">
        <v>1749</v>
      </c>
      <c r="J281" t="s">
        <v>199</v>
      </c>
      <c r="K281" t="s">
        <v>1750</v>
      </c>
    </row>
    <row r="282" spans="1:11" x14ac:dyDescent="0.2">
      <c r="A282" t="s">
        <v>1751</v>
      </c>
      <c r="B282" t="s">
        <v>1752</v>
      </c>
      <c r="C282" t="s">
        <v>1753</v>
      </c>
      <c r="D282" t="s">
        <v>1754</v>
      </c>
      <c r="F282" t="s">
        <v>1755</v>
      </c>
      <c r="G282">
        <v>50297</v>
      </c>
      <c r="H282" t="s">
        <v>1756</v>
      </c>
      <c r="J282" t="s">
        <v>1757</v>
      </c>
      <c r="K282" t="s">
        <v>1758</v>
      </c>
    </row>
    <row r="283" spans="1:11" x14ac:dyDescent="0.2">
      <c r="A283" t="s">
        <v>1759</v>
      </c>
      <c r="B283" t="s">
        <v>1760</v>
      </c>
      <c r="C283" t="s">
        <v>1761</v>
      </c>
      <c r="D283" t="s">
        <v>827</v>
      </c>
      <c r="F283" t="s">
        <v>1762</v>
      </c>
      <c r="G283">
        <v>100251</v>
      </c>
      <c r="H283" t="s">
        <v>1763</v>
      </c>
      <c r="J283" t="s">
        <v>110</v>
      </c>
      <c r="K283" t="s">
        <v>1764</v>
      </c>
    </row>
    <row r="284" spans="1:11" x14ac:dyDescent="0.2">
      <c r="A284" t="s">
        <v>1765</v>
      </c>
      <c r="B284" t="s">
        <v>1766</v>
      </c>
      <c r="C284" t="s">
        <v>116</v>
      </c>
      <c r="D284" t="s">
        <v>110</v>
      </c>
      <c r="F284" t="s">
        <v>1767</v>
      </c>
      <c r="G284">
        <v>100153</v>
      </c>
      <c r="H284" t="s">
        <v>1768</v>
      </c>
      <c r="J284" t="s">
        <v>1769</v>
      </c>
      <c r="K284" t="s">
        <v>1770</v>
      </c>
    </row>
    <row r="285" spans="1:11" x14ac:dyDescent="0.2">
      <c r="A285" t="s">
        <v>1771</v>
      </c>
      <c r="B285" t="s">
        <v>1772</v>
      </c>
      <c r="C285" t="s">
        <v>1773</v>
      </c>
      <c r="D285" t="s">
        <v>697</v>
      </c>
      <c r="F285" t="s">
        <v>1774</v>
      </c>
      <c r="G285">
        <v>100176</v>
      </c>
      <c r="H285" t="s">
        <v>1768</v>
      </c>
      <c r="J285" t="s">
        <v>943</v>
      </c>
      <c r="K285" t="s">
        <v>1770</v>
      </c>
    </row>
    <row r="286" spans="1:11" x14ac:dyDescent="0.2">
      <c r="A286" t="s">
        <v>1775</v>
      </c>
      <c r="B286" t="s">
        <v>1776</v>
      </c>
      <c r="C286" t="s">
        <v>1777</v>
      </c>
      <c r="D286" t="s">
        <v>110</v>
      </c>
      <c r="F286" t="s">
        <v>1778</v>
      </c>
      <c r="G286">
        <v>5</v>
      </c>
      <c r="K286" t="s">
        <v>1779</v>
      </c>
    </row>
    <row r="287" spans="1:11" x14ac:dyDescent="0.2">
      <c r="A287" t="s">
        <v>1780</v>
      </c>
      <c r="B287" t="s">
        <v>1781</v>
      </c>
      <c r="C287" t="s">
        <v>116</v>
      </c>
      <c r="D287" t="s">
        <v>110</v>
      </c>
      <c r="F287" t="s">
        <v>1782</v>
      </c>
      <c r="G287">
        <v>50310</v>
      </c>
      <c r="H287" t="s">
        <v>1297</v>
      </c>
      <c r="J287" t="s">
        <v>105</v>
      </c>
      <c r="K287" t="s">
        <v>1783</v>
      </c>
    </row>
    <row r="288" spans="1:11" x14ac:dyDescent="0.2">
      <c r="A288" t="s">
        <v>1784</v>
      </c>
      <c r="B288" t="s">
        <v>1785</v>
      </c>
      <c r="C288" t="s">
        <v>116</v>
      </c>
      <c r="D288" t="s">
        <v>110</v>
      </c>
      <c r="F288" t="s">
        <v>1786</v>
      </c>
      <c r="G288">
        <v>50104</v>
      </c>
      <c r="H288" t="s">
        <v>1787</v>
      </c>
      <c r="J288" t="s">
        <v>1788</v>
      </c>
    </row>
    <row r="289" spans="1:11" x14ac:dyDescent="0.2">
      <c r="A289" t="s">
        <v>1789</v>
      </c>
      <c r="B289" t="s">
        <v>1790</v>
      </c>
      <c r="C289" t="s">
        <v>116</v>
      </c>
      <c r="D289" t="s">
        <v>110</v>
      </c>
      <c r="F289" t="s">
        <v>1791</v>
      </c>
      <c r="G289">
        <v>32</v>
      </c>
      <c r="H289" t="s">
        <v>1792</v>
      </c>
      <c r="J289" t="s">
        <v>1793</v>
      </c>
      <c r="K289" t="s">
        <v>1750</v>
      </c>
    </row>
    <row r="290" spans="1:11" x14ac:dyDescent="0.2">
      <c r="A290" t="s">
        <v>1794</v>
      </c>
      <c r="B290" t="s">
        <v>1795</v>
      </c>
      <c r="C290" t="s">
        <v>116</v>
      </c>
      <c r="D290" t="s">
        <v>110</v>
      </c>
      <c r="F290" t="s">
        <v>1796</v>
      </c>
      <c r="G290">
        <v>50179</v>
      </c>
      <c r="H290" t="s">
        <v>1797</v>
      </c>
      <c r="J290" t="s">
        <v>1798</v>
      </c>
      <c r="K290" t="s">
        <v>1799</v>
      </c>
    </row>
    <row r="291" spans="1:11" x14ac:dyDescent="0.2">
      <c r="A291" t="s">
        <v>1800</v>
      </c>
      <c r="B291" t="s">
        <v>1801</v>
      </c>
      <c r="C291" t="s">
        <v>116</v>
      </c>
      <c r="D291" t="s">
        <v>110</v>
      </c>
      <c r="F291" t="s">
        <v>1802</v>
      </c>
      <c r="G291">
        <v>100102</v>
      </c>
      <c r="H291" t="s">
        <v>1803</v>
      </c>
      <c r="J291" t="s">
        <v>153</v>
      </c>
      <c r="K291" t="s">
        <v>1804</v>
      </c>
    </row>
    <row r="292" spans="1:11" x14ac:dyDescent="0.2">
      <c r="A292" t="s">
        <v>1805</v>
      </c>
      <c r="B292" t="s">
        <v>1806</v>
      </c>
      <c r="C292" t="s">
        <v>765</v>
      </c>
      <c r="D292" t="s">
        <v>761</v>
      </c>
      <c r="F292" t="s">
        <v>1807</v>
      </c>
      <c r="G292">
        <v>6</v>
      </c>
      <c r="H292" t="s">
        <v>1808</v>
      </c>
      <c r="J292" t="s">
        <v>1809</v>
      </c>
      <c r="K292" t="s">
        <v>1810</v>
      </c>
    </row>
    <row r="293" spans="1:11" x14ac:dyDescent="0.2">
      <c r="A293" t="s">
        <v>1811</v>
      </c>
      <c r="B293" t="s">
        <v>1812</v>
      </c>
      <c r="C293" t="s">
        <v>765</v>
      </c>
      <c r="D293" t="s">
        <v>761</v>
      </c>
      <c r="F293" t="s">
        <v>1813</v>
      </c>
      <c r="G293">
        <v>50264</v>
      </c>
      <c r="H293" t="s">
        <v>1814</v>
      </c>
      <c r="J293" t="s">
        <v>68</v>
      </c>
      <c r="K293" t="s">
        <v>1815</v>
      </c>
    </row>
    <row r="294" spans="1:11" x14ac:dyDescent="0.2">
      <c r="A294" t="s">
        <v>1816</v>
      </c>
      <c r="B294" t="s">
        <v>1817</v>
      </c>
      <c r="C294" t="s">
        <v>1818</v>
      </c>
      <c r="D294" t="s">
        <v>110</v>
      </c>
      <c r="F294" t="s">
        <v>1819</v>
      </c>
      <c r="G294">
        <v>100234</v>
      </c>
    </row>
    <row r="295" spans="1:11" x14ac:dyDescent="0.2">
      <c r="A295" t="s">
        <v>1820</v>
      </c>
      <c r="B295" t="s">
        <v>1821</v>
      </c>
      <c r="C295" t="s">
        <v>1822</v>
      </c>
      <c r="D295" t="s">
        <v>110</v>
      </c>
      <c r="F295" t="s">
        <v>1823</v>
      </c>
      <c r="G295">
        <v>26</v>
      </c>
      <c r="H295" t="s">
        <v>1824</v>
      </c>
      <c r="J295" t="s">
        <v>1825</v>
      </c>
    </row>
    <row r="296" spans="1:11" x14ac:dyDescent="0.2">
      <c r="A296" t="s">
        <v>1826</v>
      </c>
      <c r="B296" t="s">
        <v>1827</v>
      </c>
      <c r="C296" t="s">
        <v>1828</v>
      </c>
      <c r="D296" t="s">
        <v>447</v>
      </c>
      <c r="F296" t="s">
        <v>1829</v>
      </c>
      <c r="G296">
        <v>23</v>
      </c>
      <c r="H296" t="s">
        <v>1830</v>
      </c>
      <c r="J296" t="s">
        <v>1831</v>
      </c>
      <c r="K296" t="s">
        <v>1832</v>
      </c>
    </row>
    <row r="297" spans="1:11" x14ac:dyDescent="0.2">
      <c r="A297" t="s">
        <v>1833</v>
      </c>
      <c r="B297" t="s">
        <v>1834</v>
      </c>
      <c r="C297" t="s">
        <v>439</v>
      </c>
      <c r="D297" t="s">
        <v>440</v>
      </c>
      <c r="F297" t="s">
        <v>1835</v>
      </c>
      <c r="G297">
        <v>100150</v>
      </c>
      <c r="K297" t="s">
        <v>1836</v>
      </c>
    </row>
    <row r="298" spans="1:11" x14ac:dyDescent="0.2">
      <c r="A298" t="s">
        <v>1837</v>
      </c>
      <c r="B298" t="s">
        <v>1838</v>
      </c>
      <c r="C298" t="s">
        <v>1839</v>
      </c>
      <c r="D298" t="s">
        <v>654</v>
      </c>
      <c r="F298" t="s">
        <v>1840</v>
      </c>
      <c r="G298">
        <v>67</v>
      </c>
      <c r="H298" t="s">
        <v>1841</v>
      </c>
      <c r="J298" t="s">
        <v>704</v>
      </c>
    </row>
    <row r="299" spans="1:11" x14ac:dyDescent="0.2">
      <c r="A299" t="s">
        <v>1842</v>
      </c>
      <c r="B299" t="s">
        <v>1843</v>
      </c>
      <c r="D299" t="s">
        <v>435</v>
      </c>
      <c r="F299" t="s">
        <v>1844</v>
      </c>
      <c r="G299">
        <v>47</v>
      </c>
      <c r="H299" t="s">
        <v>1845</v>
      </c>
      <c r="J299" t="s">
        <v>1846</v>
      </c>
      <c r="K299" t="s">
        <v>1847</v>
      </c>
    </row>
    <row r="300" spans="1:11" x14ac:dyDescent="0.2">
      <c r="A300" t="s">
        <v>1848</v>
      </c>
      <c r="B300" t="s">
        <v>1849</v>
      </c>
      <c r="D300" t="s">
        <v>435</v>
      </c>
      <c r="F300" t="s">
        <v>1850</v>
      </c>
      <c r="G300">
        <v>100179</v>
      </c>
      <c r="H300" t="s">
        <v>1851</v>
      </c>
      <c r="J300" t="s">
        <v>1852</v>
      </c>
      <c r="K300" t="s">
        <v>1853</v>
      </c>
    </row>
    <row r="301" spans="1:11" x14ac:dyDescent="0.2">
      <c r="A301" t="s">
        <v>1854</v>
      </c>
      <c r="B301" t="s">
        <v>1855</v>
      </c>
      <c r="C301" t="s">
        <v>1856</v>
      </c>
      <c r="D301" t="s">
        <v>110</v>
      </c>
      <c r="F301" t="s">
        <v>1857</v>
      </c>
      <c r="G301">
        <v>100128</v>
      </c>
      <c r="H301" t="s">
        <v>1858</v>
      </c>
      <c r="J301" t="s">
        <v>1859</v>
      </c>
      <c r="K301" t="s">
        <v>1860</v>
      </c>
    </row>
    <row r="302" spans="1:11" x14ac:dyDescent="0.2">
      <c r="A302" t="s">
        <v>1861</v>
      </c>
      <c r="B302" t="s">
        <v>1862</v>
      </c>
      <c r="C302" t="s">
        <v>765</v>
      </c>
      <c r="D302" t="s">
        <v>761</v>
      </c>
      <c r="F302" t="s">
        <v>1863</v>
      </c>
      <c r="G302">
        <v>50261</v>
      </c>
      <c r="H302" t="s">
        <v>1864</v>
      </c>
      <c r="J302" t="s">
        <v>1865</v>
      </c>
      <c r="K302" t="s">
        <v>1866</v>
      </c>
    </row>
    <row r="303" spans="1:11" x14ac:dyDescent="0.2">
      <c r="A303" t="s">
        <v>1867</v>
      </c>
      <c r="B303" t="s">
        <v>1868</v>
      </c>
      <c r="C303" t="s">
        <v>765</v>
      </c>
      <c r="D303" t="s">
        <v>761</v>
      </c>
      <c r="F303" t="s">
        <v>1869</v>
      </c>
      <c r="G303">
        <v>21</v>
      </c>
      <c r="H303" t="s">
        <v>1870</v>
      </c>
      <c r="J303" t="s">
        <v>1871</v>
      </c>
      <c r="K303" t="s">
        <v>1872</v>
      </c>
    </row>
    <row r="304" spans="1:11" x14ac:dyDescent="0.2">
      <c r="A304" t="s">
        <v>1873</v>
      </c>
      <c r="B304" t="s">
        <v>1874</v>
      </c>
      <c r="D304" t="s">
        <v>573</v>
      </c>
      <c r="F304" t="s">
        <v>1875</v>
      </c>
      <c r="G304">
        <v>100190</v>
      </c>
      <c r="H304" t="s">
        <v>1876</v>
      </c>
      <c r="J304" t="s">
        <v>1877</v>
      </c>
      <c r="K304" t="s">
        <v>1878</v>
      </c>
    </row>
    <row r="305" spans="1:11" x14ac:dyDescent="0.2">
      <c r="A305" t="s">
        <v>1879</v>
      </c>
      <c r="B305" t="s">
        <v>1880</v>
      </c>
      <c r="C305" t="s">
        <v>765</v>
      </c>
      <c r="D305" t="s">
        <v>761</v>
      </c>
      <c r="F305" t="s">
        <v>1881</v>
      </c>
      <c r="G305">
        <v>100200</v>
      </c>
      <c r="H305" t="s">
        <v>1882</v>
      </c>
      <c r="J305" t="s">
        <v>1883</v>
      </c>
      <c r="K305" t="s">
        <v>1884</v>
      </c>
    </row>
    <row r="306" spans="1:11" x14ac:dyDescent="0.2">
      <c r="A306" t="s">
        <v>1885</v>
      </c>
      <c r="B306" t="s">
        <v>1886</v>
      </c>
      <c r="D306" t="s">
        <v>1887</v>
      </c>
      <c r="F306" t="s">
        <v>1888</v>
      </c>
      <c r="G306">
        <v>50461</v>
      </c>
      <c r="H306" t="s">
        <v>1889</v>
      </c>
      <c r="J306" t="s">
        <v>1890</v>
      </c>
      <c r="K306" t="s">
        <v>1891</v>
      </c>
    </row>
    <row r="307" spans="1:11" x14ac:dyDescent="0.2">
      <c r="A307" t="s">
        <v>1892</v>
      </c>
      <c r="B307" t="s">
        <v>1893</v>
      </c>
      <c r="D307" t="s">
        <v>1894</v>
      </c>
      <c r="F307" t="s">
        <v>1895</v>
      </c>
      <c r="G307">
        <v>66</v>
      </c>
      <c r="H307" t="s">
        <v>1896</v>
      </c>
      <c r="J307" t="s">
        <v>1897</v>
      </c>
      <c r="K307" t="s">
        <v>1898</v>
      </c>
    </row>
    <row r="308" spans="1:11" x14ac:dyDescent="0.2">
      <c r="A308" t="s">
        <v>1899</v>
      </c>
      <c r="B308" t="s">
        <v>1900</v>
      </c>
      <c r="D308" t="s">
        <v>306</v>
      </c>
      <c r="F308" t="s">
        <v>1901</v>
      </c>
      <c r="G308">
        <v>50200</v>
      </c>
      <c r="H308" t="s">
        <v>1902</v>
      </c>
      <c r="J308" t="s">
        <v>1903</v>
      </c>
    </row>
    <row r="309" spans="1:11" x14ac:dyDescent="0.2">
      <c r="A309" t="s">
        <v>1904</v>
      </c>
      <c r="B309" t="s">
        <v>1905</v>
      </c>
      <c r="D309" t="s">
        <v>306</v>
      </c>
      <c r="F309" t="s">
        <v>1906</v>
      </c>
      <c r="G309">
        <v>98</v>
      </c>
    </row>
    <row r="310" spans="1:11" x14ac:dyDescent="0.2">
      <c r="A310" t="s">
        <v>1907</v>
      </c>
      <c r="B310" t="s">
        <v>1908</v>
      </c>
      <c r="D310" t="s">
        <v>306</v>
      </c>
      <c r="F310" t="s">
        <v>1909</v>
      </c>
      <c r="G310">
        <v>77</v>
      </c>
      <c r="H310" t="s">
        <v>1910</v>
      </c>
      <c r="J310" t="s">
        <v>274</v>
      </c>
      <c r="K310" t="s">
        <v>1911</v>
      </c>
    </row>
    <row r="311" spans="1:11" x14ac:dyDescent="0.2">
      <c r="A311" t="s">
        <v>1912</v>
      </c>
      <c r="B311" t="s">
        <v>1913</v>
      </c>
      <c r="C311" t="s">
        <v>765</v>
      </c>
      <c r="D311" t="s">
        <v>761</v>
      </c>
      <c r="F311" t="s">
        <v>1914</v>
      </c>
      <c r="G311">
        <v>50149</v>
      </c>
      <c r="H311" t="s">
        <v>1552</v>
      </c>
      <c r="J311" t="s">
        <v>181</v>
      </c>
      <c r="K311" t="s">
        <v>1915</v>
      </c>
    </row>
    <row r="312" spans="1:11" x14ac:dyDescent="0.2">
      <c r="A312" t="s">
        <v>1916</v>
      </c>
      <c r="B312" t="s">
        <v>1917</v>
      </c>
      <c r="C312" t="s">
        <v>1918</v>
      </c>
      <c r="D312" t="s">
        <v>1919</v>
      </c>
      <c r="F312" t="s">
        <v>1920</v>
      </c>
      <c r="G312">
        <v>50292</v>
      </c>
      <c r="H312" t="s">
        <v>1921</v>
      </c>
      <c r="J312" t="s">
        <v>1922</v>
      </c>
      <c r="K312" t="s">
        <v>1923</v>
      </c>
    </row>
    <row r="313" spans="1:11" x14ac:dyDescent="0.2">
      <c r="A313" t="s">
        <v>1924</v>
      </c>
      <c r="B313" t="s">
        <v>1925</v>
      </c>
      <c r="D313" t="s">
        <v>1926</v>
      </c>
      <c r="F313" t="s">
        <v>1927</v>
      </c>
      <c r="G313">
        <v>50185</v>
      </c>
      <c r="H313" t="s">
        <v>1928</v>
      </c>
      <c r="J313" t="s">
        <v>113</v>
      </c>
      <c r="K313" t="s">
        <v>1929</v>
      </c>
    </row>
    <row r="314" spans="1:11" x14ac:dyDescent="0.2">
      <c r="A314" t="s">
        <v>1930</v>
      </c>
      <c r="B314" t="s">
        <v>1931</v>
      </c>
      <c r="C314" t="s">
        <v>1417</v>
      </c>
      <c r="D314" t="s">
        <v>1418</v>
      </c>
      <c r="F314" t="s">
        <v>1932</v>
      </c>
      <c r="G314">
        <v>50166</v>
      </c>
      <c r="H314" t="s">
        <v>1563</v>
      </c>
      <c r="J314" t="s">
        <v>1564</v>
      </c>
      <c r="K314" t="s">
        <v>1565</v>
      </c>
    </row>
    <row r="315" spans="1:11" x14ac:dyDescent="0.2">
      <c r="A315" t="s">
        <v>1933</v>
      </c>
      <c r="B315" t="s">
        <v>1934</v>
      </c>
      <c r="C315" t="s">
        <v>1935</v>
      </c>
      <c r="D315" t="s">
        <v>110</v>
      </c>
      <c r="F315" t="s">
        <v>1936</v>
      </c>
      <c r="G315">
        <v>90</v>
      </c>
      <c r="H315" t="s">
        <v>1937</v>
      </c>
      <c r="J315" t="s">
        <v>1938</v>
      </c>
      <c r="K315" t="s">
        <v>1939</v>
      </c>
    </row>
    <row r="316" spans="1:11" x14ac:dyDescent="0.2">
      <c r="A316" t="s">
        <v>1940</v>
      </c>
      <c r="B316" t="s">
        <v>1941</v>
      </c>
      <c r="D316" t="s">
        <v>573</v>
      </c>
      <c r="F316" t="s">
        <v>1942</v>
      </c>
      <c r="G316">
        <v>4</v>
      </c>
      <c r="H316" t="s">
        <v>1943</v>
      </c>
      <c r="J316" t="s">
        <v>1143</v>
      </c>
      <c r="K316" t="s">
        <v>1944</v>
      </c>
    </row>
    <row r="317" spans="1:11" x14ac:dyDescent="0.2">
      <c r="A317" t="s">
        <v>1945</v>
      </c>
      <c r="B317" t="s">
        <v>1946</v>
      </c>
      <c r="D317" t="s">
        <v>573</v>
      </c>
      <c r="F317" t="s">
        <v>1947</v>
      </c>
      <c r="G317">
        <v>50312</v>
      </c>
      <c r="H317" t="s">
        <v>1948</v>
      </c>
      <c r="J317" t="s">
        <v>1949</v>
      </c>
      <c r="K317" t="s">
        <v>1950</v>
      </c>
    </row>
    <row r="318" spans="1:11" x14ac:dyDescent="0.2">
      <c r="A318" t="s">
        <v>1951</v>
      </c>
      <c r="B318" t="s">
        <v>1952</v>
      </c>
      <c r="D318" t="s">
        <v>573</v>
      </c>
      <c r="F318" t="s">
        <v>1953</v>
      </c>
      <c r="G318">
        <v>50199</v>
      </c>
      <c r="H318" t="s">
        <v>1937</v>
      </c>
      <c r="J318" t="s">
        <v>1938</v>
      </c>
      <c r="K318" t="s">
        <v>1939</v>
      </c>
    </row>
    <row r="319" spans="1:11" x14ac:dyDescent="0.2">
      <c r="A319" t="s">
        <v>1954</v>
      </c>
      <c r="B319" t="s">
        <v>1955</v>
      </c>
      <c r="C319" t="s">
        <v>1956</v>
      </c>
      <c r="D319" t="s">
        <v>1957</v>
      </c>
      <c r="F319" t="s">
        <v>1958</v>
      </c>
      <c r="G319">
        <v>50080</v>
      </c>
      <c r="H319" t="s">
        <v>1959</v>
      </c>
      <c r="J319" t="s">
        <v>159</v>
      </c>
    </row>
    <row r="320" spans="1:11" x14ac:dyDescent="0.2">
      <c r="A320" t="s">
        <v>1960</v>
      </c>
      <c r="B320" t="s">
        <v>1961</v>
      </c>
      <c r="C320" t="s">
        <v>1962</v>
      </c>
      <c r="D320" t="s">
        <v>903</v>
      </c>
      <c r="F320" t="s">
        <v>1963</v>
      </c>
      <c r="G320">
        <v>33</v>
      </c>
      <c r="H320" t="s">
        <v>1964</v>
      </c>
      <c r="J320" t="s">
        <v>346</v>
      </c>
      <c r="K320" t="s">
        <v>1965</v>
      </c>
    </row>
    <row r="321" spans="1:11" x14ac:dyDescent="0.2">
      <c r="A321" t="s">
        <v>1966</v>
      </c>
      <c r="B321" t="s">
        <v>1967</v>
      </c>
      <c r="C321" t="s">
        <v>1663</v>
      </c>
      <c r="D321" t="s">
        <v>1262</v>
      </c>
      <c r="F321" t="s">
        <v>1968</v>
      </c>
      <c r="G321">
        <v>50434</v>
      </c>
      <c r="H321" t="s">
        <v>1969</v>
      </c>
      <c r="J321" t="s">
        <v>346</v>
      </c>
      <c r="K321" t="s">
        <v>1970</v>
      </c>
    </row>
    <row r="322" spans="1:11" x14ac:dyDescent="0.2">
      <c r="A322" t="s">
        <v>1971</v>
      </c>
      <c r="B322" t="s">
        <v>1972</v>
      </c>
      <c r="C322" t="s">
        <v>1973</v>
      </c>
      <c r="D322" t="s">
        <v>1479</v>
      </c>
      <c r="F322" t="s">
        <v>1974</v>
      </c>
      <c r="G322">
        <v>50444</v>
      </c>
      <c r="H322" t="s">
        <v>1975</v>
      </c>
      <c r="J322" t="s">
        <v>1976</v>
      </c>
      <c r="K322" t="s">
        <v>1977</v>
      </c>
    </row>
    <row r="323" spans="1:11" x14ac:dyDescent="0.2">
      <c r="A323" t="s">
        <v>1978</v>
      </c>
      <c r="B323" t="s">
        <v>1979</v>
      </c>
      <c r="C323" t="s">
        <v>1980</v>
      </c>
      <c r="D323" t="s">
        <v>299</v>
      </c>
      <c r="F323" t="s">
        <v>1981</v>
      </c>
      <c r="G323">
        <v>50285</v>
      </c>
      <c r="H323" t="s">
        <v>1982</v>
      </c>
      <c r="J323" t="s">
        <v>1983</v>
      </c>
      <c r="K323" t="s">
        <v>1984</v>
      </c>
    </row>
    <row r="324" spans="1:11" x14ac:dyDescent="0.2">
      <c r="A324" t="s">
        <v>1985</v>
      </c>
      <c r="B324" t="s">
        <v>1986</v>
      </c>
      <c r="C324" t="s">
        <v>425</v>
      </c>
      <c r="D324" t="s">
        <v>299</v>
      </c>
      <c r="F324" t="s">
        <v>1987</v>
      </c>
      <c r="G324">
        <v>50334</v>
      </c>
      <c r="K324" t="s">
        <v>1988</v>
      </c>
    </row>
    <row r="325" spans="1:11" x14ac:dyDescent="0.2">
      <c r="A325" t="s">
        <v>1989</v>
      </c>
      <c r="B325" t="s">
        <v>1990</v>
      </c>
      <c r="C325" t="s">
        <v>1518</v>
      </c>
      <c r="D325" t="s">
        <v>110</v>
      </c>
      <c r="F325" t="s">
        <v>1991</v>
      </c>
      <c r="G325">
        <v>50265</v>
      </c>
      <c r="H325" t="s">
        <v>1992</v>
      </c>
      <c r="J325" t="s">
        <v>135</v>
      </c>
      <c r="K325" t="s">
        <v>1993</v>
      </c>
    </row>
    <row r="326" spans="1:11" x14ac:dyDescent="0.2">
      <c r="A326" t="s">
        <v>1994</v>
      </c>
      <c r="B326" t="s">
        <v>1995</v>
      </c>
      <c r="D326" t="s">
        <v>135</v>
      </c>
      <c r="F326" t="s">
        <v>1996</v>
      </c>
      <c r="G326">
        <v>24</v>
      </c>
      <c r="H326" t="s">
        <v>1997</v>
      </c>
      <c r="J326" t="s">
        <v>1998</v>
      </c>
      <c r="K326" t="s">
        <v>1999</v>
      </c>
    </row>
    <row r="327" spans="1:11" x14ac:dyDescent="0.2">
      <c r="A327" t="s">
        <v>2000</v>
      </c>
      <c r="B327" t="s">
        <v>2001</v>
      </c>
      <c r="C327" t="s">
        <v>2002</v>
      </c>
      <c r="D327" t="s">
        <v>2003</v>
      </c>
      <c r="F327" t="s">
        <v>2004</v>
      </c>
      <c r="G327">
        <v>100096</v>
      </c>
      <c r="H327" t="s">
        <v>2005</v>
      </c>
      <c r="J327" t="s">
        <v>2006</v>
      </c>
      <c r="K327" t="s">
        <v>2007</v>
      </c>
    </row>
    <row r="328" spans="1:11" x14ac:dyDescent="0.2">
      <c r="A328" t="s">
        <v>2008</v>
      </c>
      <c r="B328" t="s">
        <v>2009</v>
      </c>
      <c r="C328" t="s">
        <v>2010</v>
      </c>
      <c r="D328" t="s">
        <v>510</v>
      </c>
      <c r="F328" t="s">
        <v>2011</v>
      </c>
      <c r="G328">
        <v>100126</v>
      </c>
      <c r="H328" t="s">
        <v>2012</v>
      </c>
      <c r="J328" t="s">
        <v>755</v>
      </c>
      <c r="K328" t="s">
        <v>2013</v>
      </c>
    </row>
    <row r="329" spans="1:11" x14ac:dyDescent="0.2">
      <c r="A329" t="s">
        <v>2014</v>
      </c>
      <c r="B329" t="s">
        <v>2015</v>
      </c>
      <c r="C329" t="s">
        <v>2016</v>
      </c>
      <c r="D329" t="s">
        <v>110</v>
      </c>
      <c r="F329" t="s">
        <v>2017</v>
      </c>
      <c r="G329">
        <v>20</v>
      </c>
      <c r="H329" t="s">
        <v>2018</v>
      </c>
      <c r="J329" t="s">
        <v>549</v>
      </c>
      <c r="K329" t="s">
        <v>2019</v>
      </c>
    </row>
    <row r="330" spans="1:11" x14ac:dyDescent="0.2">
      <c r="A330" t="s">
        <v>2020</v>
      </c>
      <c r="B330" t="s">
        <v>2021</v>
      </c>
      <c r="C330" t="s">
        <v>2022</v>
      </c>
      <c r="D330" t="s">
        <v>306</v>
      </c>
      <c r="F330" t="s">
        <v>2023</v>
      </c>
      <c r="G330">
        <v>50368</v>
      </c>
      <c r="H330" t="s">
        <v>2024</v>
      </c>
      <c r="J330" t="s">
        <v>592</v>
      </c>
      <c r="K330" t="s">
        <v>2025</v>
      </c>
    </row>
    <row r="331" spans="1:11" x14ac:dyDescent="0.2">
      <c r="A331" t="s">
        <v>2026</v>
      </c>
      <c r="B331" t="s">
        <v>2027</v>
      </c>
      <c r="C331" t="s">
        <v>2022</v>
      </c>
      <c r="D331" t="s">
        <v>306</v>
      </c>
      <c r="F331" t="s">
        <v>2028</v>
      </c>
      <c r="G331">
        <v>100152</v>
      </c>
      <c r="H331" t="s">
        <v>2029</v>
      </c>
      <c r="J331" t="s">
        <v>1976</v>
      </c>
      <c r="K331" t="s">
        <v>2030</v>
      </c>
    </row>
    <row r="332" spans="1:11" x14ac:dyDescent="0.2">
      <c r="A332" t="s">
        <v>2031</v>
      </c>
      <c r="B332" t="s">
        <v>2032</v>
      </c>
      <c r="C332" t="s">
        <v>431</v>
      </c>
      <c r="D332" t="s">
        <v>432</v>
      </c>
      <c r="F332" t="s">
        <v>2033</v>
      </c>
      <c r="G332">
        <v>50335</v>
      </c>
      <c r="K332" t="s">
        <v>2034</v>
      </c>
    </row>
    <row r="333" spans="1:11" x14ac:dyDescent="0.2">
      <c r="A333" t="s">
        <v>2035</v>
      </c>
      <c r="B333" t="s">
        <v>2036</v>
      </c>
      <c r="C333" t="s">
        <v>1135</v>
      </c>
      <c r="D333" t="s">
        <v>91</v>
      </c>
      <c r="F333" t="s">
        <v>2037</v>
      </c>
      <c r="G333">
        <v>100154</v>
      </c>
      <c r="H333" t="s">
        <v>2038</v>
      </c>
      <c r="J333" t="s">
        <v>2039</v>
      </c>
      <c r="K333" t="s">
        <v>2040</v>
      </c>
    </row>
    <row r="334" spans="1:11" x14ac:dyDescent="0.2">
      <c r="A334" t="s">
        <v>2041</v>
      </c>
      <c r="B334" t="s">
        <v>2042</v>
      </c>
      <c r="C334" t="s">
        <v>2043</v>
      </c>
      <c r="D334" t="s">
        <v>440</v>
      </c>
      <c r="F334" t="s">
        <v>2044</v>
      </c>
      <c r="G334">
        <v>92</v>
      </c>
    </row>
    <row r="335" spans="1:11" x14ac:dyDescent="0.2">
      <c r="A335" t="s">
        <v>2045</v>
      </c>
      <c r="B335" t="s">
        <v>2046</v>
      </c>
      <c r="C335" t="s">
        <v>2047</v>
      </c>
      <c r="D335" t="s">
        <v>530</v>
      </c>
      <c r="F335" t="s">
        <v>2044</v>
      </c>
      <c r="G335">
        <v>50445</v>
      </c>
      <c r="H335" t="s">
        <v>2048</v>
      </c>
      <c r="J335" t="s">
        <v>943</v>
      </c>
      <c r="K335" t="s">
        <v>2049</v>
      </c>
    </row>
    <row r="336" spans="1:11" x14ac:dyDescent="0.2">
      <c r="A336" t="s">
        <v>2050</v>
      </c>
      <c r="B336" t="s">
        <v>2051</v>
      </c>
      <c r="C336" t="s">
        <v>2052</v>
      </c>
      <c r="D336" t="s">
        <v>2053</v>
      </c>
      <c r="F336" t="s">
        <v>2054</v>
      </c>
      <c r="G336">
        <v>50338</v>
      </c>
      <c r="H336" t="s">
        <v>2055</v>
      </c>
      <c r="J336" t="s">
        <v>2056</v>
      </c>
      <c r="K336" t="s">
        <v>2057</v>
      </c>
    </row>
    <row r="337" spans="1:11" x14ac:dyDescent="0.2">
      <c r="A337" t="s">
        <v>2058</v>
      </c>
      <c r="B337" t="s">
        <v>2059</v>
      </c>
      <c r="C337" t="s">
        <v>1173</v>
      </c>
      <c r="D337" t="s">
        <v>299</v>
      </c>
      <c r="F337" t="s">
        <v>2060</v>
      </c>
      <c r="G337">
        <v>100089</v>
      </c>
      <c r="H337" t="s">
        <v>2061</v>
      </c>
      <c r="J337" t="s">
        <v>2062</v>
      </c>
      <c r="K337" t="s">
        <v>2063</v>
      </c>
    </row>
    <row r="338" spans="1:11" x14ac:dyDescent="0.2">
      <c r="A338" t="s">
        <v>2064</v>
      </c>
      <c r="B338" t="s">
        <v>2065</v>
      </c>
      <c r="C338" t="s">
        <v>1223</v>
      </c>
      <c r="D338" t="s">
        <v>299</v>
      </c>
      <c r="F338" t="s">
        <v>2066</v>
      </c>
      <c r="G338">
        <v>100183</v>
      </c>
      <c r="H338" t="s">
        <v>2067</v>
      </c>
      <c r="J338" t="s">
        <v>370</v>
      </c>
      <c r="K338" t="s">
        <v>2068</v>
      </c>
    </row>
    <row r="339" spans="1:11" x14ac:dyDescent="0.2">
      <c r="A339" t="s">
        <v>2069</v>
      </c>
      <c r="B339" t="s">
        <v>2070</v>
      </c>
      <c r="C339" t="s">
        <v>2071</v>
      </c>
      <c r="D339" t="s">
        <v>2072</v>
      </c>
      <c r="F339" t="s">
        <v>2073</v>
      </c>
      <c r="G339">
        <v>16</v>
      </c>
      <c r="H339" t="s">
        <v>2074</v>
      </c>
      <c r="J339" t="s">
        <v>110</v>
      </c>
      <c r="K339" t="s">
        <v>2075</v>
      </c>
    </row>
    <row r="340" spans="1:11" x14ac:dyDescent="0.2">
      <c r="A340" t="s">
        <v>2076</v>
      </c>
      <c r="B340" t="s">
        <v>2077</v>
      </c>
      <c r="C340" t="s">
        <v>2078</v>
      </c>
      <c r="D340" t="s">
        <v>554</v>
      </c>
      <c r="F340" t="s">
        <v>2079</v>
      </c>
      <c r="G340">
        <v>50144</v>
      </c>
      <c r="H340" t="s">
        <v>2074</v>
      </c>
      <c r="J340" t="s">
        <v>110</v>
      </c>
      <c r="K340" t="s">
        <v>2075</v>
      </c>
    </row>
    <row r="341" spans="1:11" x14ac:dyDescent="0.2">
      <c r="A341" t="s">
        <v>2080</v>
      </c>
      <c r="B341" t="s">
        <v>2081</v>
      </c>
      <c r="C341" t="s">
        <v>2082</v>
      </c>
      <c r="D341" t="s">
        <v>110</v>
      </c>
      <c r="F341" t="s">
        <v>2083</v>
      </c>
      <c r="G341">
        <v>69</v>
      </c>
      <c r="H341" t="s">
        <v>2084</v>
      </c>
      <c r="J341" t="s">
        <v>262</v>
      </c>
      <c r="K341" t="s">
        <v>2085</v>
      </c>
    </row>
    <row r="342" spans="1:11" x14ac:dyDescent="0.2">
      <c r="A342" t="s">
        <v>2086</v>
      </c>
      <c r="B342" t="s">
        <v>2087</v>
      </c>
      <c r="C342" t="s">
        <v>2088</v>
      </c>
      <c r="D342" t="s">
        <v>903</v>
      </c>
      <c r="F342" t="s">
        <v>2089</v>
      </c>
      <c r="G342">
        <v>27</v>
      </c>
      <c r="H342" t="s">
        <v>2090</v>
      </c>
      <c r="J342" t="s">
        <v>2091</v>
      </c>
    </row>
    <row r="343" spans="1:11" x14ac:dyDescent="0.2">
      <c r="A343" t="s">
        <v>2092</v>
      </c>
      <c r="B343" t="s">
        <v>2093</v>
      </c>
      <c r="C343" t="s">
        <v>1223</v>
      </c>
      <c r="D343" t="s">
        <v>299</v>
      </c>
      <c r="F343" t="s">
        <v>2094</v>
      </c>
      <c r="G343">
        <v>100105</v>
      </c>
      <c r="H343" t="s">
        <v>2095</v>
      </c>
      <c r="J343" t="s">
        <v>2096</v>
      </c>
      <c r="K343" t="s">
        <v>2097</v>
      </c>
    </row>
    <row r="344" spans="1:11" x14ac:dyDescent="0.2">
      <c r="A344" t="s">
        <v>2098</v>
      </c>
      <c r="B344" t="s">
        <v>2099</v>
      </c>
      <c r="C344" t="s">
        <v>1223</v>
      </c>
      <c r="D344" t="s">
        <v>299</v>
      </c>
      <c r="F344" t="s">
        <v>2094</v>
      </c>
      <c r="G344">
        <v>100168</v>
      </c>
      <c r="H344" t="s">
        <v>2095</v>
      </c>
      <c r="J344" t="s">
        <v>2096</v>
      </c>
      <c r="K344" t="s">
        <v>2097</v>
      </c>
    </row>
    <row r="345" spans="1:11" x14ac:dyDescent="0.2">
      <c r="A345" t="s">
        <v>2100</v>
      </c>
      <c r="B345" t="s">
        <v>2101</v>
      </c>
      <c r="C345" t="s">
        <v>1935</v>
      </c>
      <c r="D345" t="s">
        <v>110</v>
      </c>
      <c r="F345" t="s">
        <v>2102</v>
      </c>
      <c r="G345">
        <v>50132</v>
      </c>
      <c r="H345" t="s">
        <v>2103</v>
      </c>
      <c r="J345" t="s">
        <v>1983</v>
      </c>
      <c r="K345" t="s">
        <v>2104</v>
      </c>
    </row>
    <row r="346" spans="1:11" x14ac:dyDescent="0.2">
      <c r="A346" t="s">
        <v>2105</v>
      </c>
      <c r="B346" t="s">
        <v>2106</v>
      </c>
      <c r="C346" t="s">
        <v>2107</v>
      </c>
      <c r="D346" t="s">
        <v>963</v>
      </c>
      <c r="F346" t="s">
        <v>2108</v>
      </c>
      <c r="G346">
        <v>19</v>
      </c>
      <c r="H346" t="s">
        <v>2109</v>
      </c>
      <c r="J346" t="s">
        <v>1296</v>
      </c>
      <c r="K346" t="s">
        <v>2110</v>
      </c>
    </row>
    <row r="347" spans="1:11" x14ac:dyDescent="0.2">
      <c r="A347" t="s">
        <v>2111</v>
      </c>
      <c r="B347" t="s">
        <v>2112</v>
      </c>
      <c r="C347" t="s">
        <v>87</v>
      </c>
      <c r="D347" t="s">
        <v>88</v>
      </c>
      <c r="F347" t="s">
        <v>2113</v>
      </c>
      <c r="G347">
        <v>50274</v>
      </c>
      <c r="H347" t="s">
        <v>2114</v>
      </c>
      <c r="J347" t="s">
        <v>2115</v>
      </c>
    </row>
    <row r="348" spans="1:11" x14ac:dyDescent="0.2">
      <c r="A348" t="s">
        <v>2116</v>
      </c>
      <c r="B348" t="s">
        <v>2117</v>
      </c>
      <c r="D348" t="s">
        <v>2118</v>
      </c>
      <c r="F348" t="s">
        <v>2119</v>
      </c>
      <c r="G348">
        <v>50440</v>
      </c>
      <c r="H348" t="s">
        <v>2018</v>
      </c>
      <c r="J348" t="s">
        <v>549</v>
      </c>
      <c r="K348" t="s">
        <v>2120</v>
      </c>
    </row>
    <row r="349" spans="1:11" x14ac:dyDescent="0.2">
      <c r="A349" t="s">
        <v>2121</v>
      </c>
      <c r="B349" t="s">
        <v>2122</v>
      </c>
      <c r="C349" t="s">
        <v>474</v>
      </c>
      <c r="D349" t="s">
        <v>110</v>
      </c>
      <c r="F349" t="s">
        <v>2123</v>
      </c>
      <c r="G349">
        <v>100166</v>
      </c>
      <c r="H349" t="s">
        <v>2124</v>
      </c>
      <c r="J349" t="s">
        <v>110</v>
      </c>
      <c r="K349" t="s">
        <v>2125</v>
      </c>
    </row>
    <row r="350" spans="1:11" x14ac:dyDescent="0.2">
      <c r="A350" t="s">
        <v>2126</v>
      </c>
      <c r="B350" t="s">
        <v>2127</v>
      </c>
      <c r="D350" t="s">
        <v>306</v>
      </c>
      <c r="F350" t="s">
        <v>2128</v>
      </c>
      <c r="G350">
        <v>50083</v>
      </c>
      <c r="H350" t="s">
        <v>2129</v>
      </c>
    </row>
    <row r="351" spans="1:11" x14ac:dyDescent="0.2">
      <c r="A351" t="s">
        <v>2130</v>
      </c>
      <c r="B351" t="s">
        <v>2131</v>
      </c>
      <c r="D351" t="s">
        <v>306</v>
      </c>
      <c r="F351" t="s">
        <v>2132</v>
      </c>
      <c r="G351">
        <v>78</v>
      </c>
      <c r="H351" t="s">
        <v>2133</v>
      </c>
      <c r="J351" t="s">
        <v>2134</v>
      </c>
      <c r="K351" t="s">
        <v>2135</v>
      </c>
    </row>
    <row r="352" spans="1:11" x14ac:dyDescent="0.2">
      <c r="A352" t="s">
        <v>2136</v>
      </c>
      <c r="B352" t="s">
        <v>2137</v>
      </c>
      <c r="C352" t="s">
        <v>2022</v>
      </c>
      <c r="D352" t="s">
        <v>306</v>
      </c>
      <c r="F352" t="s">
        <v>2138</v>
      </c>
      <c r="G352">
        <v>50251</v>
      </c>
      <c r="H352" t="s">
        <v>2139</v>
      </c>
      <c r="J352" t="s">
        <v>346</v>
      </c>
      <c r="K352" t="s">
        <v>2140</v>
      </c>
    </row>
    <row r="353" spans="1:11" x14ac:dyDescent="0.2">
      <c r="A353" t="s">
        <v>2141</v>
      </c>
      <c r="B353" t="s">
        <v>2142</v>
      </c>
      <c r="C353" t="s">
        <v>2047</v>
      </c>
      <c r="D353" t="s">
        <v>530</v>
      </c>
      <c r="F353" t="s">
        <v>2143</v>
      </c>
      <c r="G353">
        <v>50129</v>
      </c>
      <c r="H353" t="s">
        <v>2144</v>
      </c>
      <c r="J353" t="s">
        <v>2145</v>
      </c>
      <c r="K353" t="s">
        <v>2146</v>
      </c>
    </row>
    <row r="354" spans="1:11" x14ac:dyDescent="0.2">
      <c r="A354" t="s">
        <v>2147</v>
      </c>
      <c r="B354" t="s">
        <v>2148</v>
      </c>
      <c r="C354" t="s">
        <v>2149</v>
      </c>
      <c r="D354" t="s">
        <v>110</v>
      </c>
      <c r="F354" t="s">
        <v>2150</v>
      </c>
      <c r="G354">
        <v>50099</v>
      </c>
      <c r="H354" t="s">
        <v>2151</v>
      </c>
      <c r="J354" t="s">
        <v>102</v>
      </c>
      <c r="K354" t="s">
        <v>2152</v>
      </c>
    </row>
    <row r="355" spans="1:11" x14ac:dyDescent="0.2">
      <c r="A355" t="s">
        <v>2153</v>
      </c>
      <c r="B355" t="s">
        <v>2154</v>
      </c>
      <c r="C355" t="s">
        <v>1255</v>
      </c>
      <c r="D355" t="s">
        <v>110</v>
      </c>
      <c r="F355" t="s">
        <v>2155</v>
      </c>
      <c r="G355">
        <v>100124</v>
      </c>
      <c r="H355" t="s">
        <v>2156</v>
      </c>
      <c r="J355" t="s">
        <v>822</v>
      </c>
      <c r="K355" t="s">
        <v>2157</v>
      </c>
    </row>
    <row r="356" spans="1:11" x14ac:dyDescent="0.2">
      <c r="A356" t="s">
        <v>2158</v>
      </c>
      <c r="B356" t="s">
        <v>2159</v>
      </c>
      <c r="D356" t="s">
        <v>378</v>
      </c>
      <c r="F356" t="s">
        <v>2160</v>
      </c>
      <c r="G356">
        <v>29</v>
      </c>
      <c r="H356" t="s">
        <v>2161</v>
      </c>
      <c r="J356" t="s">
        <v>822</v>
      </c>
      <c r="K356" t="s">
        <v>2162</v>
      </c>
    </row>
    <row r="357" spans="1:11" x14ac:dyDescent="0.2">
      <c r="A357" t="s">
        <v>2163</v>
      </c>
      <c r="B357" t="s">
        <v>2164</v>
      </c>
      <c r="C357" t="s">
        <v>2165</v>
      </c>
      <c r="D357" t="s">
        <v>110</v>
      </c>
      <c r="F357" t="s">
        <v>2166</v>
      </c>
      <c r="G357">
        <v>62</v>
      </c>
      <c r="H357" t="s">
        <v>2167</v>
      </c>
      <c r="J357" t="s">
        <v>1757</v>
      </c>
      <c r="K357" t="s">
        <v>2168</v>
      </c>
    </row>
    <row r="358" spans="1:11" x14ac:dyDescent="0.2">
      <c r="A358" t="s">
        <v>2169</v>
      </c>
      <c r="B358" t="s">
        <v>2170</v>
      </c>
      <c r="C358" t="s">
        <v>431</v>
      </c>
      <c r="D358" t="s">
        <v>432</v>
      </c>
      <c r="F358" t="s">
        <v>2171</v>
      </c>
      <c r="G358">
        <v>50234</v>
      </c>
      <c r="H358" t="s">
        <v>2172</v>
      </c>
      <c r="J358" t="s">
        <v>1364</v>
      </c>
      <c r="K358" t="s">
        <v>1365</v>
      </c>
    </row>
    <row r="359" spans="1:11" x14ac:dyDescent="0.2">
      <c r="A359" t="s">
        <v>2173</v>
      </c>
      <c r="B359" t="s">
        <v>2174</v>
      </c>
      <c r="C359" t="s">
        <v>2175</v>
      </c>
      <c r="D359" t="s">
        <v>602</v>
      </c>
      <c r="F359" t="s">
        <v>2176</v>
      </c>
      <c r="G359">
        <v>50158</v>
      </c>
      <c r="H359" t="s">
        <v>2177</v>
      </c>
      <c r="J359" t="s">
        <v>2178</v>
      </c>
    </row>
    <row r="360" spans="1:11" x14ac:dyDescent="0.2">
      <c r="A360" t="s">
        <v>2179</v>
      </c>
      <c r="B360" t="s">
        <v>2180</v>
      </c>
      <c r="C360" t="s">
        <v>2181</v>
      </c>
      <c r="D360" t="s">
        <v>697</v>
      </c>
      <c r="F360" t="s">
        <v>2182</v>
      </c>
      <c r="G360">
        <v>50174</v>
      </c>
      <c r="H360" t="s">
        <v>2183</v>
      </c>
      <c r="J360" t="s">
        <v>396</v>
      </c>
      <c r="K360" t="s">
        <v>1614</v>
      </c>
    </row>
    <row r="361" spans="1:11" x14ac:dyDescent="0.2">
      <c r="A361" t="s">
        <v>2184</v>
      </c>
      <c r="B361" t="s">
        <v>2185</v>
      </c>
      <c r="C361" t="s">
        <v>2078</v>
      </c>
      <c r="D361" t="s">
        <v>554</v>
      </c>
      <c r="F361" t="s">
        <v>2186</v>
      </c>
      <c r="G361">
        <v>100110</v>
      </c>
      <c r="H361" t="s">
        <v>2187</v>
      </c>
      <c r="J361" t="s">
        <v>153</v>
      </c>
      <c r="K361" t="s">
        <v>2188</v>
      </c>
    </row>
    <row r="362" spans="1:11" x14ac:dyDescent="0.2">
      <c r="A362" t="s">
        <v>2189</v>
      </c>
      <c r="B362" t="s">
        <v>2190</v>
      </c>
      <c r="C362" t="s">
        <v>2191</v>
      </c>
      <c r="D362" t="s">
        <v>110</v>
      </c>
      <c r="F362" t="s">
        <v>2192</v>
      </c>
      <c r="G362">
        <v>50410</v>
      </c>
      <c r="H362" t="s">
        <v>2187</v>
      </c>
      <c r="J362" t="s">
        <v>153</v>
      </c>
      <c r="K362" t="s">
        <v>2193</v>
      </c>
    </row>
    <row r="363" spans="1:11" x14ac:dyDescent="0.2">
      <c r="A363" t="s">
        <v>2194</v>
      </c>
      <c r="B363" t="s">
        <v>2195</v>
      </c>
      <c r="C363" t="s">
        <v>2196</v>
      </c>
      <c r="D363" t="s">
        <v>724</v>
      </c>
      <c r="F363" t="s">
        <v>2197</v>
      </c>
      <c r="G363">
        <v>39</v>
      </c>
      <c r="H363" t="s">
        <v>2005</v>
      </c>
      <c r="J363" t="s">
        <v>2006</v>
      </c>
      <c r="K363" t="s">
        <v>2198</v>
      </c>
    </row>
    <row r="364" spans="1:11" x14ac:dyDescent="0.2">
      <c r="A364" t="s">
        <v>2199</v>
      </c>
      <c r="B364" t="s">
        <v>2200</v>
      </c>
      <c r="D364" t="s">
        <v>435</v>
      </c>
      <c r="F364" t="s">
        <v>2201</v>
      </c>
      <c r="G364">
        <v>100123</v>
      </c>
      <c r="H364" t="s">
        <v>2202</v>
      </c>
      <c r="J364" t="s">
        <v>768</v>
      </c>
      <c r="K364" t="s">
        <v>2203</v>
      </c>
    </row>
    <row r="365" spans="1:11" x14ac:dyDescent="0.2">
      <c r="A365" t="s">
        <v>2204</v>
      </c>
      <c r="B365" t="s">
        <v>2205</v>
      </c>
      <c r="D365" t="s">
        <v>2206</v>
      </c>
      <c r="F365" t="s">
        <v>2207</v>
      </c>
      <c r="G365">
        <v>50188</v>
      </c>
      <c r="H365" t="s">
        <v>2208</v>
      </c>
      <c r="J365" t="s">
        <v>2209</v>
      </c>
      <c r="K365" t="s">
        <v>2210</v>
      </c>
    </row>
    <row r="366" spans="1:11" x14ac:dyDescent="0.2">
      <c r="A366" t="s">
        <v>2211</v>
      </c>
      <c r="B366" t="s">
        <v>2212</v>
      </c>
      <c r="D366" t="s">
        <v>2213</v>
      </c>
      <c r="F366" t="s">
        <v>2214</v>
      </c>
      <c r="G366">
        <v>100174</v>
      </c>
      <c r="H366" t="s">
        <v>2215</v>
      </c>
      <c r="J366" t="s">
        <v>396</v>
      </c>
      <c r="K366" t="s">
        <v>2216</v>
      </c>
    </row>
    <row r="367" spans="1:11" x14ac:dyDescent="0.2">
      <c r="A367" t="s">
        <v>2217</v>
      </c>
      <c r="B367" t="s">
        <v>2218</v>
      </c>
      <c r="C367" t="s">
        <v>1261</v>
      </c>
      <c r="D367" t="s">
        <v>1262</v>
      </c>
      <c r="F367" t="s">
        <v>2219</v>
      </c>
      <c r="G367">
        <v>100237</v>
      </c>
      <c r="H367" t="s">
        <v>2220</v>
      </c>
      <c r="J367" t="s">
        <v>396</v>
      </c>
      <c r="K367" t="s">
        <v>2216</v>
      </c>
    </row>
    <row r="368" spans="1:11" x14ac:dyDescent="0.2">
      <c r="A368" t="s">
        <v>2221</v>
      </c>
      <c r="B368" t="s">
        <v>2222</v>
      </c>
      <c r="C368" t="s">
        <v>1461</v>
      </c>
      <c r="D368" t="s">
        <v>306</v>
      </c>
      <c r="F368" t="s">
        <v>2223</v>
      </c>
      <c r="G368">
        <v>50409</v>
      </c>
      <c r="H368" t="s">
        <v>301</v>
      </c>
      <c r="J368" t="s">
        <v>153</v>
      </c>
      <c r="K368" t="s">
        <v>2224</v>
      </c>
    </row>
    <row r="369" spans="1:11" x14ac:dyDescent="0.2">
      <c r="A369" t="s">
        <v>2225</v>
      </c>
      <c r="B369" t="s">
        <v>2226</v>
      </c>
      <c r="C369" t="s">
        <v>369</v>
      </c>
      <c r="D369" t="s">
        <v>370</v>
      </c>
      <c r="F369" t="s">
        <v>2227</v>
      </c>
      <c r="G369">
        <v>50235</v>
      </c>
      <c r="H369" t="s">
        <v>2228</v>
      </c>
      <c r="J369" t="s">
        <v>129</v>
      </c>
    </row>
    <row r="370" spans="1:11" x14ac:dyDescent="0.2">
      <c r="A370" t="s">
        <v>2229</v>
      </c>
      <c r="B370" t="s">
        <v>2230</v>
      </c>
      <c r="C370" t="s">
        <v>765</v>
      </c>
      <c r="D370" t="s">
        <v>761</v>
      </c>
      <c r="F370" t="s">
        <v>2231</v>
      </c>
      <c r="G370">
        <v>50095</v>
      </c>
      <c r="H370" t="s">
        <v>2232</v>
      </c>
      <c r="J370" t="s">
        <v>346</v>
      </c>
      <c r="K370" t="s">
        <v>2233</v>
      </c>
    </row>
    <row r="371" spans="1:11" x14ac:dyDescent="0.2">
      <c r="A371" t="s">
        <v>2234</v>
      </c>
      <c r="B371" t="s">
        <v>2235</v>
      </c>
      <c r="C371" t="s">
        <v>785</v>
      </c>
      <c r="D371" t="s">
        <v>378</v>
      </c>
      <c r="F371" t="s">
        <v>2236</v>
      </c>
      <c r="G371">
        <v>100225</v>
      </c>
      <c r="H371" t="s">
        <v>2237</v>
      </c>
      <c r="J371" t="s">
        <v>159</v>
      </c>
      <c r="K371" t="s">
        <v>2238</v>
      </c>
    </row>
    <row r="372" spans="1:11" x14ac:dyDescent="0.2">
      <c r="A372" t="s">
        <v>2239</v>
      </c>
      <c r="B372" t="s">
        <v>2240</v>
      </c>
      <c r="C372" t="s">
        <v>2241</v>
      </c>
      <c r="D372" t="s">
        <v>1486</v>
      </c>
      <c r="F372" t="s">
        <v>2242</v>
      </c>
      <c r="G372">
        <v>50272</v>
      </c>
      <c r="H372" t="s">
        <v>2243</v>
      </c>
      <c r="J372" t="s">
        <v>135</v>
      </c>
      <c r="K372" t="s">
        <v>2244</v>
      </c>
    </row>
    <row r="373" spans="1:11" x14ac:dyDescent="0.2">
      <c r="A373" t="s">
        <v>2245</v>
      </c>
      <c r="B373" t="s">
        <v>2246</v>
      </c>
      <c r="D373" t="s">
        <v>378</v>
      </c>
      <c r="F373" t="s">
        <v>2247</v>
      </c>
      <c r="G373">
        <v>60</v>
      </c>
      <c r="H373" t="s">
        <v>2248</v>
      </c>
      <c r="J373" t="s">
        <v>912</v>
      </c>
      <c r="K373" t="s">
        <v>2249</v>
      </c>
    </row>
    <row r="374" spans="1:11" x14ac:dyDescent="0.2">
      <c r="A374" t="s">
        <v>2250</v>
      </c>
      <c r="B374" t="s">
        <v>2251</v>
      </c>
      <c r="C374" t="s">
        <v>2252</v>
      </c>
      <c r="D374" t="s">
        <v>110</v>
      </c>
      <c r="F374" t="s">
        <v>2253</v>
      </c>
      <c r="G374">
        <v>50182</v>
      </c>
      <c r="H374" t="s">
        <v>2254</v>
      </c>
      <c r="J374" t="s">
        <v>110</v>
      </c>
      <c r="K374" t="s">
        <v>2255</v>
      </c>
    </row>
    <row r="375" spans="1:11" x14ac:dyDescent="0.2">
      <c r="A375" t="s">
        <v>529</v>
      </c>
      <c r="B375" t="s">
        <v>2256</v>
      </c>
      <c r="C375" t="s">
        <v>1299</v>
      </c>
      <c r="D375" t="s">
        <v>1300</v>
      </c>
      <c r="F375" t="s">
        <v>2257</v>
      </c>
      <c r="G375">
        <v>50447</v>
      </c>
      <c r="H375" t="s">
        <v>2258</v>
      </c>
      <c r="J375" t="s">
        <v>2259</v>
      </c>
      <c r="K375" t="s">
        <v>2260</v>
      </c>
    </row>
    <row r="376" spans="1:11" x14ac:dyDescent="0.2">
      <c r="A376" t="s">
        <v>2261</v>
      </c>
      <c r="B376" t="s">
        <v>2262</v>
      </c>
      <c r="C376" t="s">
        <v>2263</v>
      </c>
      <c r="D376" t="s">
        <v>1300</v>
      </c>
      <c r="F376" t="s">
        <v>2264</v>
      </c>
      <c r="G376">
        <v>57</v>
      </c>
      <c r="H376" t="s">
        <v>1339</v>
      </c>
      <c r="K376" t="s">
        <v>119</v>
      </c>
    </row>
    <row r="377" spans="1:11" x14ac:dyDescent="0.2">
      <c r="A377" t="s">
        <v>2265</v>
      </c>
      <c r="B377" t="s">
        <v>2266</v>
      </c>
      <c r="C377" t="s">
        <v>2267</v>
      </c>
      <c r="D377" t="s">
        <v>602</v>
      </c>
    </row>
    <row r="378" spans="1:11" x14ac:dyDescent="0.2">
      <c r="A378" t="s">
        <v>2268</v>
      </c>
      <c r="B378" t="s">
        <v>2269</v>
      </c>
      <c r="C378" t="s">
        <v>431</v>
      </c>
      <c r="D378" t="s">
        <v>432</v>
      </c>
    </row>
    <row r="379" spans="1:11" x14ac:dyDescent="0.2">
      <c r="A379" t="s">
        <v>2270</v>
      </c>
      <c r="B379" t="s">
        <v>2271</v>
      </c>
      <c r="C379" t="s">
        <v>2272</v>
      </c>
      <c r="D379" t="s">
        <v>876</v>
      </c>
    </row>
    <row r="380" spans="1:11" x14ac:dyDescent="0.2">
      <c r="A380" t="s">
        <v>2273</v>
      </c>
      <c r="B380" t="s">
        <v>2274</v>
      </c>
      <c r="C380" t="s">
        <v>2275</v>
      </c>
      <c r="D380" t="s">
        <v>549</v>
      </c>
    </row>
    <row r="381" spans="1:11" x14ac:dyDescent="0.2">
      <c r="A381" t="s">
        <v>2276</v>
      </c>
      <c r="B381" t="s">
        <v>2277</v>
      </c>
      <c r="C381" t="s">
        <v>2278</v>
      </c>
      <c r="D381" t="s">
        <v>697</v>
      </c>
    </row>
    <row r="382" spans="1:11" x14ac:dyDescent="0.2">
      <c r="A382" t="s">
        <v>2279</v>
      </c>
      <c r="B382" t="s">
        <v>2280</v>
      </c>
      <c r="D382" t="s">
        <v>2281</v>
      </c>
    </row>
    <row r="383" spans="1:11" x14ac:dyDescent="0.2">
      <c r="A383" t="s">
        <v>2282</v>
      </c>
      <c r="B383" t="s">
        <v>2283</v>
      </c>
      <c r="C383" t="s">
        <v>2284</v>
      </c>
      <c r="D383" t="s">
        <v>378</v>
      </c>
    </row>
    <row r="384" spans="1:11" x14ac:dyDescent="0.2">
      <c r="A384" t="s">
        <v>2285</v>
      </c>
      <c r="B384" t="s">
        <v>2286</v>
      </c>
      <c r="D384" t="s">
        <v>110</v>
      </c>
    </row>
    <row r="385" spans="1:4" x14ac:dyDescent="0.2">
      <c r="A385" t="s">
        <v>2287</v>
      </c>
      <c r="B385" t="s">
        <v>2288</v>
      </c>
      <c r="C385" t="s">
        <v>87</v>
      </c>
      <c r="D385" t="s">
        <v>95</v>
      </c>
    </row>
    <row r="386" spans="1:4" x14ac:dyDescent="0.2">
      <c r="A386" t="s">
        <v>2289</v>
      </c>
      <c r="B386" t="s">
        <v>2290</v>
      </c>
      <c r="C386" t="s">
        <v>2291</v>
      </c>
      <c r="D386" t="s">
        <v>299</v>
      </c>
    </row>
    <row r="387" spans="1:4" x14ac:dyDescent="0.2">
      <c r="A387" t="s">
        <v>2292</v>
      </c>
      <c r="B387" t="s">
        <v>2293</v>
      </c>
      <c r="C387" t="s">
        <v>2294</v>
      </c>
      <c r="D387" t="s">
        <v>2213</v>
      </c>
    </row>
    <row r="388" spans="1:4" x14ac:dyDescent="0.2">
      <c r="A388" t="s">
        <v>2295</v>
      </c>
      <c r="B388" t="s">
        <v>2296</v>
      </c>
      <c r="C388" t="s">
        <v>2022</v>
      </c>
      <c r="D388" t="s">
        <v>306</v>
      </c>
    </row>
    <row r="389" spans="1:4" x14ac:dyDescent="0.2">
      <c r="A389" t="s">
        <v>2297</v>
      </c>
      <c r="B389" t="s">
        <v>2298</v>
      </c>
      <c r="D38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40"/>
  <sheetViews>
    <sheetView workbookViewId="0">
      <pane ySplit="5" topLeftCell="A6" activePane="bottomLeft" state="frozen"/>
      <selection pane="bottomLeft" activeCell="L23" sqref="L23"/>
    </sheetView>
  </sheetViews>
  <sheetFormatPr baseColWidth="10" defaultColWidth="8.83203125" defaultRowHeight="15" x14ac:dyDescent="0.2"/>
  <cols>
    <col min="1" max="1" width="29.5" bestFit="1" customWidth="1"/>
    <col min="2" max="2" width="30" customWidth="1"/>
    <col min="3" max="3" width="10" customWidth="1"/>
    <col min="4" max="6" width="15" customWidth="1"/>
    <col min="7" max="7" width="10" customWidth="1"/>
    <col min="8" max="8" width="15" customWidth="1"/>
  </cols>
  <sheetData>
    <row r="1" spans="1:13" ht="16" x14ac:dyDescent="0.2">
      <c r="A1" s="33" t="s">
        <v>2299</v>
      </c>
      <c r="B1" s="28"/>
      <c r="C1" s="28"/>
      <c r="D1" s="28"/>
      <c r="E1" s="28"/>
      <c r="F1" s="28"/>
      <c r="G1" s="28"/>
      <c r="H1" s="28"/>
    </row>
    <row r="3" spans="1:13" x14ac:dyDescent="0.2">
      <c r="A3" s="32" t="s">
        <v>2300</v>
      </c>
      <c r="B3" s="28"/>
      <c r="C3" s="28"/>
      <c r="D3" s="28"/>
    </row>
    <row r="4" spans="1:13" x14ac:dyDescent="0.2">
      <c r="A4" s="1" t="s">
        <v>2301</v>
      </c>
      <c r="B4" s="14">
        <v>13598</v>
      </c>
    </row>
    <row r="5" spans="1:13" x14ac:dyDescent="0.2">
      <c r="A5" s="1" t="s">
        <v>2302</v>
      </c>
      <c r="B5" s="14">
        <f>10076+6830</f>
        <v>16906</v>
      </c>
    </row>
    <row r="6" spans="1:13" x14ac:dyDescent="0.2">
      <c r="A6" s="1" t="s">
        <v>2303</v>
      </c>
      <c r="B6" s="15">
        <f>IF(AND(B4&lt;&gt;"",B5&lt;&gt;""),B5-B4,"")</f>
        <v>3308</v>
      </c>
    </row>
    <row r="7" spans="1:13" x14ac:dyDescent="0.2">
      <c r="A7" s="1" t="s">
        <v>2304</v>
      </c>
      <c r="B7" s="14">
        <v>11954</v>
      </c>
    </row>
    <row r="8" spans="1:13" x14ac:dyDescent="0.2">
      <c r="A8" s="1" t="s">
        <v>2305</v>
      </c>
      <c r="B8" s="14">
        <v>15360</v>
      </c>
    </row>
    <row r="9" spans="1:13" x14ac:dyDescent="0.2">
      <c r="A9" s="1" t="s">
        <v>2306</v>
      </c>
      <c r="B9" s="15">
        <f>IF(AND(B7&lt;&gt;"",B8&lt;&gt;""),B8-B7,"")</f>
        <v>3406</v>
      </c>
    </row>
    <row r="10" spans="1:13" x14ac:dyDescent="0.2">
      <c r="A10" s="1" t="s">
        <v>2307</v>
      </c>
      <c r="B10" s="14">
        <v>1128</v>
      </c>
    </row>
    <row r="11" spans="1:13" x14ac:dyDescent="0.2">
      <c r="A11" s="1" t="s">
        <v>2308</v>
      </c>
      <c r="B11" s="14">
        <v>1313</v>
      </c>
      <c r="M11" s="18"/>
    </row>
    <row r="12" spans="1:13" x14ac:dyDescent="0.2">
      <c r="A12" s="1" t="s">
        <v>2309</v>
      </c>
      <c r="B12" s="15">
        <f>IF(AND(B10&lt;&gt;"",B11&lt;&gt;""),B11-B10,"")</f>
        <v>185</v>
      </c>
    </row>
    <row r="14" spans="1:13" x14ac:dyDescent="0.2">
      <c r="A14" s="32" t="s">
        <v>2310</v>
      </c>
      <c r="B14" s="28"/>
      <c r="C14" s="28"/>
      <c r="D14" s="28"/>
      <c r="E14" s="28"/>
      <c r="F14" s="28"/>
      <c r="G14" s="28"/>
      <c r="H14" s="28"/>
    </row>
    <row r="15" spans="1:13" ht="30" customHeight="1" x14ac:dyDescent="0.2">
      <c r="A15" s="31" t="s">
        <v>2311</v>
      </c>
      <c r="B15" s="28"/>
      <c r="C15" s="28"/>
      <c r="D15" s="28"/>
      <c r="E15" s="28"/>
      <c r="F15" s="28"/>
      <c r="G15" s="28"/>
      <c r="H15" s="28"/>
    </row>
    <row r="16" spans="1:13" ht="30" customHeight="1" x14ac:dyDescent="0.2">
      <c r="A16" s="16" t="s">
        <v>2312</v>
      </c>
      <c r="B16" s="16" t="s">
        <v>2313</v>
      </c>
      <c r="C16" s="16" t="s">
        <v>2314</v>
      </c>
      <c r="D16" s="16" t="s">
        <v>2315</v>
      </c>
      <c r="E16" s="16" t="s">
        <v>2316</v>
      </c>
      <c r="F16" s="16" t="s">
        <v>2317</v>
      </c>
      <c r="G16" s="16" t="s">
        <v>2318</v>
      </c>
      <c r="H16" s="16" t="s">
        <v>2319</v>
      </c>
    </row>
    <row r="17" spans="1:8" x14ac:dyDescent="0.2">
      <c r="A17" s="4" t="s">
        <v>2350</v>
      </c>
      <c r="B17" s="38" t="s">
        <v>2339</v>
      </c>
      <c r="C17" s="3" t="str">
        <f t="shared" ref="C17:C36" si="0">IF(A17="Elektra","kWh",IF(A17="Gas","m³",IF(A17="Water","m³","")))</f>
        <v>m³</v>
      </c>
      <c r="D17" s="3">
        <f t="shared" ref="D17:D36" si="1">IF(A17="Elektra",KWh_verbruik,IF(A17="Gas",Gas_verbruik,IF(A17="Water",Water_verbruik,"")))</f>
        <v>185</v>
      </c>
      <c r="E17" s="39">
        <v>1.29</v>
      </c>
      <c r="F17" s="9">
        <f t="shared" ref="F17:F36" si="2">IF(OR(D17="",E17=""),0,D17*E17)</f>
        <v>238.65</v>
      </c>
      <c r="G17" s="18">
        <v>0.09</v>
      </c>
      <c r="H17" s="9">
        <f t="shared" ref="H17:H36" si="3">F17*G17</f>
        <v>21.4785</v>
      </c>
    </row>
    <row r="18" spans="1:8" x14ac:dyDescent="0.2">
      <c r="A18" s="4" t="s">
        <v>2350</v>
      </c>
      <c r="B18" s="38" t="s">
        <v>2340</v>
      </c>
      <c r="C18" s="3" t="s">
        <v>2353</v>
      </c>
      <c r="D18" s="3">
        <v>579</v>
      </c>
      <c r="E18" s="39">
        <v>0.25474000000000002</v>
      </c>
      <c r="F18" s="9">
        <f t="shared" si="2"/>
        <v>147.49446</v>
      </c>
      <c r="G18" s="18">
        <v>0.09</v>
      </c>
      <c r="H18" s="9">
        <f t="shared" si="3"/>
        <v>13.2745014</v>
      </c>
    </row>
    <row r="19" spans="1:8" x14ac:dyDescent="0.2">
      <c r="A19" s="4" t="s">
        <v>2350</v>
      </c>
      <c r="B19" s="38" t="s">
        <v>2341</v>
      </c>
      <c r="C19" s="3" t="str">
        <f t="shared" si="0"/>
        <v>m³</v>
      </c>
      <c r="D19" s="3">
        <f t="shared" si="1"/>
        <v>185</v>
      </c>
      <c r="E19" s="39">
        <v>0.45800000000000002</v>
      </c>
      <c r="F19" s="9">
        <f t="shared" si="2"/>
        <v>84.73</v>
      </c>
      <c r="G19" s="18">
        <v>0.09</v>
      </c>
      <c r="H19" s="9">
        <f t="shared" si="3"/>
        <v>7.6257000000000001</v>
      </c>
    </row>
    <row r="20" spans="1:8" x14ac:dyDescent="0.2">
      <c r="A20" s="4" t="s">
        <v>2350</v>
      </c>
      <c r="B20" s="38" t="s">
        <v>2342</v>
      </c>
      <c r="C20" s="3" t="str">
        <f t="shared" si="0"/>
        <v>m³</v>
      </c>
      <c r="D20" s="3">
        <f t="shared" si="1"/>
        <v>185</v>
      </c>
      <c r="E20" s="39">
        <v>9.2299999999999993E-2</v>
      </c>
      <c r="F20" s="9">
        <f t="shared" si="2"/>
        <v>17.075499999999998</v>
      </c>
      <c r="G20" s="18">
        <v>0.09</v>
      </c>
      <c r="H20" s="9">
        <f t="shared" si="3"/>
        <v>1.5367949999999997</v>
      </c>
    </row>
    <row r="21" spans="1:8" x14ac:dyDescent="0.2">
      <c r="A21" s="4" t="s">
        <v>2351</v>
      </c>
      <c r="B21" s="38" t="s">
        <v>2343</v>
      </c>
      <c r="C21" s="3" t="str">
        <f t="shared" si="0"/>
        <v>kWh</v>
      </c>
      <c r="D21" s="3">
        <f t="shared" si="1"/>
        <v>3308</v>
      </c>
      <c r="E21" s="39">
        <v>0.274476</v>
      </c>
      <c r="F21" s="9">
        <f t="shared" si="2"/>
        <v>907.96660799999995</v>
      </c>
      <c r="G21" s="18">
        <v>0.21</v>
      </c>
      <c r="H21" s="9">
        <f t="shared" si="3"/>
        <v>190.67298767999998</v>
      </c>
    </row>
    <row r="22" spans="1:8" x14ac:dyDescent="0.2">
      <c r="A22" s="4" t="s">
        <v>2351</v>
      </c>
      <c r="B22" s="38" t="s">
        <v>2344</v>
      </c>
      <c r="C22" s="3" t="s">
        <v>2353</v>
      </c>
      <c r="D22" s="3">
        <v>579</v>
      </c>
      <c r="E22" s="39">
        <v>0.39780799999999999</v>
      </c>
      <c r="F22" s="9">
        <f t="shared" si="2"/>
        <v>230.33083199999999</v>
      </c>
      <c r="G22" s="18">
        <v>0.21</v>
      </c>
      <c r="H22" s="9">
        <f t="shared" si="3"/>
        <v>48.369474719999992</v>
      </c>
    </row>
    <row r="23" spans="1:8" x14ac:dyDescent="0.2">
      <c r="A23" s="4" t="s">
        <v>2351</v>
      </c>
      <c r="B23" s="38" t="s">
        <v>2345</v>
      </c>
      <c r="C23" s="3" t="s">
        <v>2353</v>
      </c>
      <c r="D23" s="3">
        <v>579</v>
      </c>
      <c r="E23" s="39">
        <v>-1.740245</v>
      </c>
      <c r="F23" s="9">
        <f t="shared" si="2"/>
        <v>-1007.601855</v>
      </c>
      <c r="G23" s="18">
        <v>0.21</v>
      </c>
      <c r="H23" s="9">
        <f t="shared" si="3"/>
        <v>-211.59638955</v>
      </c>
    </row>
    <row r="24" spans="1:8" x14ac:dyDescent="0.2">
      <c r="A24" s="4" t="s">
        <v>2351</v>
      </c>
      <c r="B24" s="38" t="s">
        <v>2346</v>
      </c>
      <c r="C24" s="3" t="s">
        <v>2353</v>
      </c>
      <c r="D24" s="3">
        <v>579</v>
      </c>
      <c r="E24" s="39">
        <v>1.3038959999999999</v>
      </c>
      <c r="F24" s="9">
        <f t="shared" si="2"/>
        <v>754.95578399999999</v>
      </c>
      <c r="G24" s="18">
        <v>0.21</v>
      </c>
      <c r="H24" s="9">
        <f t="shared" si="3"/>
        <v>158.54071464</v>
      </c>
    </row>
    <row r="25" spans="1:8" x14ac:dyDescent="0.2">
      <c r="A25" s="4" t="s">
        <v>2352</v>
      </c>
      <c r="B25" s="38" t="s">
        <v>2347</v>
      </c>
      <c r="C25" s="3" t="str">
        <f t="shared" si="0"/>
        <v>m³</v>
      </c>
      <c r="D25" s="3">
        <f t="shared" si="1"/>
        <v>3406</v>
      </c>
      <c r="E25" s="39">
        <v>1.287755</v>
      </c>
      <c r="F25" s="9">
        <f t="shared" si="2"/>
        <v>4386.0935300000001</v>
      </c>
      <c r="G25" s="18">
        <v>0.21</v>
      </c>
      <c r="H25" s="9">
        <f t="shared" si="3"/>
        <v>921.07964129999993</v>
      </c>
    </row>
    <row r="26" spans="1:8" x14ac:dyDescent="0.2">
      <c r="A26" s="4" t="s">
        <v>2352</v>
      </c>
      <c r="B26" s="38" t="s">
        <v>2348</v>
      </c>
      <c r="C26" s="3" t="s">
        <v>2353</v>
      </c>
      <c r="D26" s="3">
        <v>579</v>
      </c>
      <c r="E26" s="39">
        <v>0.29835600000000001</v>
      </c>
      <c r="F26" s="9">
        <f t="shared" si="2"/>
        <v>172.74812400000002</v>
      </c>
      <c r="G26" s="18">
        <v>0.21</v>
      </c>
      <c r="H26" s="9">
        <f t="shared" si="3"/>
        <v>36.27710604</v>
      </c>
    </row>
    <row r="27" spans="1:8" x14ac:dyDescent="0.2">
      <c r="A27" s="4" t="s">
        <v>2352</v>
      </c>
      <c r="B27" s="38" t="s">
        <v>2349</v>
      </c>
      <c r="C27" s="3" t="s">
        <v>2353</v>
      </c>
      <c r="D27" s="3">
        <v>579</v>
      </c>
      <c r="E27" s="39">
        <v>0.67421200000000003</v>
      </c>
      <c r="F27" s="9">
        <f t="shared" si="2"/>
        <v>390.36874800000004</v>
      </c>
      <c r="G27" s="18">
        <v>0.21</v>
      </c>
      <c r="H27" s="9">
        <f t="shared" si="3"/>
        <v>81.977437080000001</v>
      </c>
    </row>
    <row r="28" spans="1:8" x14ac:dyDescent="0.2">
      <c r="A28" s="4"/>
      <c r="B28" s="4"/>
      <c r="C28" s="3" t="str">
        <f t="shared" si="0"/>
        <v/>
      </c>
      <c r="D28" s="3" t="str">
        <f t="shared" si="1"/>
        <v/>
      </c>
      <c r="E28" s="17"/>
      <c r="F28" s="9">
        <f t="shared" si="2"/>
        <v>0</v>
      </c>
      <c r="G28" s="18">
        <v>0.21</v>
      </c>
      <c r="H28" s="9">
        <f t="shared" si="3"/>
        <v>0</v>
      </c>
    </row>
    <row r="29" spans="1:8" x14ac:dyDescent="0.2">
      <c r="A29" s="4"/>
      <c r="B29" s="4"/>
      <c r="C29" s="3" t="str">
        <f t="shared" si="0"/>
        <v/>
      </c>
      <c r="D29" s="3" t="str">
        <f t="shared" si="1"/>
        <v/>
      </c>
      <c r="E29" s="17"/>
      <c r="F29" s="9">
        <f t="shared" si="2"/>
        <v>0</v>
      </c>
      <c r="G29" s="18">
        <v>0.21</v>
      </c>
      <c r="H29" s="9">
        <f t="shared" si="3"/>
        <v>0</v>
      </c>
    </row>
    <row r="30" spans="1:8" x14ac:dyDescent="0.2">
      <c r="A30" s="4"/>
      <c r="B30" s="4"/>
      <c r="C30" s="3" t="str">
        <f t="shared" si="0"/>
        <v/>
      </c>
      <c r="D30" s="3" t="str">
        <f t="shared" si="1"/>
        <v/>
      </c>
      <c r="E30" s="17"/>
      <c r="F30" s="9">
        <f t="shared" si="2"/>
        <v>0</v>
      </c>
      <c r="G30" s="18">
        <v>0.21</v>
      </c>
      <c r="H30" s="9">
        <f t="shared" si="3"/>
        <v>0</v>
      </c>
    </row>
    <row r="31" spans="1:8" x14ac:dyDescent="0.2">
      <c r="A31" s="4"/>
      <c r="B31" s="4"/>
      <c r="C31" s="3" t="str">
        <f t="shared" si="0"/>
        <v/>
      </c>
      <c r="D31" s="3" t="str">
        <f t="shared" si="1"/>
        <v/>
      </c>
      <c r="E31" s="17"/>
      <c r="F31" s="9">
        <f t="shared" si="2"/>
        <v>0</v>
      </c>
      <c r="G31" s="18">
        <v>0.21</v>
      </c>
      <c r="H31" s="9">
        <f t="shared" si="3"/>
        <v>0</v>
      </c>
    </row>
    <row r="32" spans="1:8" x14ac:dyDescent="0.2">
      <c r="A32" s="4"/>
      <c r="B32" s="4"/>
      <c r="C32" s="3" t="str">
        <f t="shared" si="0"/>
        <v/>
      </c>
      <c r="D32" s="3" t="str">
        <f t="shared" si="1"/>
        <v/>
      </c>
      <c r="E32" s="17"/>
      <c r="F32" s="9">
        <f t="shared" si="2"/>
        <v>0</v>
      </c>
      <c r="G32" s="18">
        <v>0.21</v>
      </c>
      <c r="H32" s="9">
        <f t="shared" si="3"/>
        <v>0</v>
      </c>
    </row>
    <row r="33" spans="1:8" x14ac:dyDescent="0.2">
      <c r="A33" s="4"/>
      <c r="B33" s="4"/>
      <c r="C33" s="3" t="str">
        <f t="shared" si="0"/>
        <v/>
      </c>
      <c r="D33" s="3" t="str">
        <f t="shared" si="1"/>
        <v/>
      </c>
      <c r="E33" s="17"/>
      <c r="F33" s="9">
        <f t="shared" si="2"/>
        <v>0</v>
      </c>
      <c r="G33" s="18">
        <v>0.21</v>
      </c>
      <c r="H33" s="9">
        <f t="shared" si="3"/>
        <v>0</v>
      </c>
    </row>
    <row r="34" spans="1:8" x14ac:dyDescent="0.2">
      <c r="A34" s="4"/>
      <c r="B34" s="4"/>
      <c r="C34" s="3" t="str">
        <f t="shared" si="0"/>
        <v/>
      </c>
      <c r="D34" s="3" t="str">
        <f t="shared" si="1"/>
        <v/>
      </c>
      <c r="E34" s="17"/>
      <c r="F34" s="9">
        <f t="shared" si="2"/>
        <v>0</v>
      </c>
      <c r="G34" s="18">
        <v>0.21</v>
      </c>
      <c r="H34" s="9">
        <f t="shared" si="3"/>
        <v>0</v>
      </c>
    </row>
    <row r="35" spans="1:8" x14ac:dyDescent="0.2">
      <c r="A35" s="4"/>
      <c r="B35" s="4"/>
      <c r="C35" s="3" t="str">
        <f t="shared" si="0"/>
        <v/>
      </c>
      <c r="D35" s="3" t="str">
        <f t="shared" si="1"/>
        <v/>
      </c>
      <c r="E35" s="17"/>
      <c r="F35" s="9">
        <f t="shared" si="2"/>
        <v>0</v>
      </c>
      <c r="G35" s="18">
        <v>0.21</v>
      </c>
      <c r="H35" s="9">
        <f t="shared" si="3"/>
        <v>0</v>
      </c>
    </row>
    <row r="36" spans="1:8" x14ac:dyDescent="0.2">
      <c r="A36" s="4"/>
      <c r="B36" s="4"/>
      <c r="C36" s="3" t="str">
        <f t="shared" si="0"/>
        <v/>
      </c>
      <c r="D36" s="3" t="str">
        <f t="shared" si="1"/>
        <v/>
      </c>
      <c r="E36" s="17"/>
      <c r="F36" s="9">
        <f t="shared" si="2"/>
        <v>0</v>
      </c>
      <c r="G36" s="18">
        <v>0.21</v>
      </c>
      <c r="H36" s="9">
        <f t="shared" si="3"/>
        <v>0</v>
      </c>
    </row>
    <row r="37" spans="1:8" x14ac:dyDescent="0.2">
      <c r="A37" s="29" t="s">
        <v>2320</v>
      </c>
      <c r="B37" s="28"/>
      <c r="C37" s="28"/>
      <c r="D37" s="28"/>
      <c r="E37" s="28"/>
      <c r="F37" s="28"/>
      <c r="G37" s="28"/>
      <c r="H37" s="28"/>
    </row>
    <row r="38" spans="1:8" x14ac:dyDescent="0.2">
      <c r="A38" s="1" t="s">
        <v>2321</v>
      </c>
      <c r="B38" s="9">
        <f>SUM(F17:F36)</f>
        <v>6322.8117309999989</v>
      </c>
    </row>
    <row r="39" spans="1:8" x14ac:dyDescent="0.2">
      <c r="A39" s="1" t="s">
        <v>2322</v>
      </c>
      <c r="B39" s="9">
        <f>SUM(H17:H37)</f>
        <v>1269.23646831</v>
      </c>
    </row>
    <row r="40" spans="1:8" x14ac:dyDescent="0.2">
      <c r="A40" s="12" t="s">
        <v>2323</v>
      </c>
      <c r="B40" s="9">
        <f>GWE_totaal_excl+GWE_BTW</f>
        <v>7592.0481993099984</v>
      </c>
    </row>
  </sheetData>
  <mergeCells count="5">
    <mergeCell ref="A15:H15"/>
    <mergeCell ref="A3:D3"/>
    <mergeCell ref="A14:H14"/>
    <mergeCell ref="A1:H1"/>
    <mergeCell ref="A37:H37"/>
  </mergeCells>
  <dataValidations count="1">
    <dataValidation type="list" allowBlank="1" sqref="A17:A36" xr:uid="{00000000-0002-0000-0200-000000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5" t="s">
        <v>2324</v>
      </c>
      <c r="B1" s="28"/>
    </row>
    <row r="3" spans="1:2" x14ac:dyDescent="0.2">
      <c r="A3" s="34" t="s">
        <v>2325</v>
      </c>
      <c r="B3" s="28"/>
    </row>
    <row r="4" spans="1:2" x14ac:dyDescent="0.2">
      <c r="A4" s="1" t="s">
        <v>28</v>
      </c>
      <c r="B4" s="19" t="str">
        <f>[0]!Schoonmaak_pakket</f>
        <v>Achteraf Betaald</v>
      </c>
    </row>
    <row r="5" spans="1:2" x14ac:dyDescent="0.2">
      <c r="A5" s="1" t="s">
        <v>29</v>
      </c>
      <c r="B5" s="6" t="str">
        <f>IF(B4="Basis Schoonmaak",5,IF(B4="Intensief Schoonmaak",7,""))</f>
        <v/>
      </c>
    </row>
    <row r="6" spans="1:2" x14ac:dyDescent="0.2">
      <c r="A6" s="1" t="s">
        <v>2326</v>
      </c>
      <c r="B6" s="20">
        <v>7</v>
      </c>
    </row>
    <row r="7" spans="1:2" x14ac:dyDescent="0.2">
      <c r="A7" s="1" t="s">
        <v>2327</v>
      </c>
      <c r="B7" s="21" t="str">
        <f>IF(AND(B5&lt;&gt;"",B6&lt;&gt;""),MAX(0,B6-B5),"")</f>
        <v/>
      </c>
    </row>
    <row r="8" spans="1:2" x14ac:dyDescent="0.2">
      <c r="A8" s="1" t="s">
        <v>2328</v>
      </c>
      <c r="B8" s="22">
        <f>[0]!Uurtarief_schoonmaak</f>
        <v>50</v>
      </c>
    </row>
    <row r="9" spans="1:2" x14ac:dyDescent="0.2">
      <c r="A9" s="23" t="s">
        <v>33</v>
      </c>
      <c r="B9" s="24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504D"/>
  </sheetPr>
  <dimension ref="A1:F60"/>
  <sheetViews>
    <sheetView workbookViewId="0">
      <pane ySplit="5" topLeftCell="A6" activePane="bottomLeft" state="frozen"/>
      <selection pane="bottomLeft" sqref="A1:F1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  <col min="5" max="5" width="10" customWidth="1"/>
    <col min="6" max="6" width="15" customWidth="1"/>
  </cols>
  <sheetData>
    <row r="1" spans="1:6" ht="16" x14ac:dyDescent="0.2">
      <c r="A1" s="36" t="s">
        <v>2329</v>
      </c>
      <c r="B1" s="28"/>
      <c r="C1" s="28"/>
      <c r="D1" s="28"/>
      <c r="E1" s="28"/>
      <c r="F1" s="28"/>
    </row>
    <row r="3" spans="1:6" x14ac:dyDescent="0.2">
      <c r="A3" s="37" t="s">
        <v>2330</v>
      </c>
      <c r="B3" s="28"/>
      <c r="C3" s="28"/>
      <c r="D3" s="28"/>
      <c r="E3" s="28"/>
    </row>
    <row r="5" spans="1:6" ht="25" customHeight="1" x14ac:dyDescent="0.2">
      <c r="A5" s="25" t="s">
        <v>2331</v>
      </c>
      <c r="B5" s="25" t="s">
        <v>2332</v>
      </c>
      <c r="C5" s="25" t="s">
        <v>2333</v>
      </c>
      <c r="D5" s="25" t="s">
        <v>2334</v>
      </c>
      <c r="E5" s="25" t="s">
        <v>2318</v>
      </c>
      <c r="F5" s="25" t="s">
        <v>2319</v>
      </c>
    </row>
    <row r="6" spans="1:6" x14ac:dyDescent="0.2">
      <c r="A6" s="4"/>
      <c r="B6" s="26"/>
      <c r="C6" s="8"/>
      <c r="D6" s="9" t="str">
        <f t="shared" ref="D6:D37" si="0">IF(AND(B6&lt;&gt;"",C6&lt;&gt;""),B6*C6,"")</f>
        <v/>
      </c>
      <c r="E6" s="18">
        <v>0.21</v>
      </c>
      <c r="F6" s="9" t="str">
        <f t="shared" ref="F6:F37" si="1">IF(AND(D6&lt;&gt;"",E6&lt;&gt;""),D6*E6,"")</f>
        <v/>
      </c>
    </row>
    <row r="7" spans="1:6" x14ac:dyDescent="0.2">
      <c r="A7" s="4"/>
      <c r="B7" s="26"/>
      <c r="C7" s="8"/>
      <c r="D7" s="9" t="str">
        <f t="shared" si="0"/>
        <v/>
      </c>
      <c r="E7" s="18">
        <v>0.21</v>
      </c>
      <c r="F7" s="9" t="str">
        <f t="shared" si="1"/>
        <v/>
      </c>
    </row>
    <row r="8" spans="1:6" x14ac:dyDescent="0.2">
      <c r="A8" s="4"/>
      <c r="B8" s="26"/>
      <c r="C8" s="8"/>
      <c r="D8" s="9" t="str">
        <f t="shared" si="0"/>
        <v/>
      </c>
      <c r="E8" s="18">
        <v>0.21</v>
      </c>
      <c r="F8" s="9" t="str">
        <f t="shared" si="1"/>
        <v/>
      </c>
    </row>
    <row r="9" spans="1:6" x14ac:dyDescent="0.2">
      <c r="A9" s="4"/>
      <c r="B9" s="26"/>
      <c r="C9" s="8"/>
      <c r="D9" s="9" t="str">
        <f t="shared" si="0"/>
        <v/>
      </c>
      <c r="E9" s="18">
        <v>0.21</v>
      </c>
      <c r="F9" s="9" t="str">
        <f t="shared" si="1"/>
        <v/>
      </c>
    </row>
    <row r="10" spans="1:6" x14ac:dyDescent="0.2">
      <c r="A10" s="4"/>
      <c r="B10" s="26"/>
      <c r="C10" s="8"/>
      <c r="D10" s="9" t="str">
        <f t="shared" si="0"/>
        <v/>
      </c>
      <c r="E10" s="18">
        <v>0.21</v>
      </c>
      <c r="F10" s="9" t="str">
        <f t="shared" si="1"/>
        <v/>
      </c>
    </row>
    <row r="11" spans="1:6" x14ac:dyDescent="0.2">
      <c r="A11" s="4"/>
      <c r="B11" s="26"/>
      <c r="C11" s="8"/>
      <c r="D11" s="9" t="str">
        <f t="shared" si="0"/>
        <v/>
      </c>
      <c r="E11" s="18">
        <v>0.21</v>
      </c>
      <c r="F11" s="9" t="str">
        <f t="shared" si="1"/>
        <v/>
      </c>
    </row>
    <row r="12" spans="1:6" x14ac:dyDescent="0.2">
      <c r="A12" s="4"/>
      <c r="B12" s="26"/>
      <c r="C12" s="8"/>
      <c r="D12" s="9" t="str">
        <f t="shared" si="0"/>
        <v/>
      </c>
      <c r="E12" s="18">
        <v>0.21</v>
      </c>
      <c r="F12" s="9" t="str">
        <f t="shared" si="1"/>
        <v/>
      </c>
    </row>
    <row r="13" spans="1:6" x14ac:dyDescent="0.2">
      <c r="A13" s="4"/>
      <c r="B13" s="26"/>
      <c r="C13" s="8"/>
      <c r="D13" s="9" t="str">
        <f t="shared" si="0"/>
        <v/>
      </c>
      <c r="E13" s="18">
        <v>0.21</v>
      </c>
      <c r="F13" s="9" t="str">
        <f t="shared" si="1"/>
        <v/>
      </c>
    </row>
    <row r="14" spans="1:6" x14ac:dyDescent="0.2">
      <c r="A14" s="4"/>
      <c r="B14" s="26"/>
      <c r="C14" s="8"/>
      <c r="D14" s="9" t="str">
        <f t="shared" si="0"/>
        <v/>
      </c>
      <c r="E14" s="18">
        <v>0.21</v>
      </c>
      <c r="F14" s="9" t="str">
        <f t="shared" si="1"/>
        <v/>
      </c>
    </row>
    <row r="15" spans="1:6" x14ac:dyDescent="0.2">
      <c r="A15" s="4"/>
      <c r="B15" s="26"/>
      <c r="C15" s="8"/>
      <c r="D15" s="9" t="str">
        <f t="shared" si="0"/>
        <v/>
      </c>
      <c r="E15" s="18">
        <v>0.21</v>
      </c>
      <c r="F15" s="9" t="str">
        <f t="shared" si="1"/>
        <v/>
      </c>
    </row>
    <row r="16" spans="1:6" x14ac:dyDescent="0.2">
      <c r="A16" s="4"/>
      <c r="B16" s="26"/>
      <c r="C16" s="8"/>
      <c r="D16" s="9" t="str">
        <f t="shared" si="0"/>
        <v/>
      </c>
      <c r="E16" s="18">
        <v>0.21</v>
      </c>
      <c r="F16" s="9" t="str">
        <f t="shared" si="1"/>
        <v/>
      </c>
    </row>
    <row r="17" spans="1:6" x14ac:dyDescent="0.2">
      <c r="A17" s="4"/>
      <c r="B17" s="26"/>
      <c r="C17" s="8"/>
      <c r="D17" s="9" t="str">
        <f t="shared" si="0"/>
        <v/>
      </c>
      <c r="E17" s="18">
        <v>0.21</v>
      </c>
      <c r="F17" s="9" t="str">
        <f t="shared" si="1"/>
        <v/>
      </c>
    </row>
    <row r="18" spans="1:6" x14ac:dyDescent="0.2">
      <c r="A18" s="4"/>
      <c r="B18" s="26"/>
      <c r="C18" s="8"/>
      <c r="D18" s="9" t="str">
        <f t="shared" si="0"/>
        <v/>
      </c>
      <c r="E18" s="18">
        <v>0.21</v>
      </c>
      <c r="F18" s="9" t="str">
        <f t="shared" si="1"/>
        <v/>
      </c>
    </row>
    <row r="19" spans="1:6" x14ac:dyDescent="0.2">
      <c r="A19" s="4"/>
      <c r="B19" s="26"/>
      <c r="C19" s="8"/>
      <c r="D19" s="9" t="str">
        <f t="shared" si="0"/>
        <v/>
      </c>
      <c r="E19" s="18">
        <v>0.21</v>
      </c>
      <c r="F19" s="9" t="str">
        <f t="shared" si="1"/>
        <v/>
      </c>
    </row>
    <row r="20" spans="1:6" x14ac:dyDescent="0.2">
      <c r="A20" s="4"/>
      <c r="B20" s="26"/>
      <c r="C20" s="8"/>
      <c r="D20" s="9" t="str">
        <f t="shared" si="0"/>
        <v/>
      </c>
      <c r="E20" s="18">
        <v>0.21</v>
      </c>
      <c r="F20" s="9" t="str">
        <f t="shared" si="1"/>
        <v/>
      </c>
    </row>
    <row r="21" spans="1:6" x14ac:dyDescent="0.2">
      <c r="A21" s="4"/>
      <c r="B21" s="26"/>
      <c r="C21" s="8"/>
      <c r="D21" s="9" t="str">
        <f t="shared" si="0"/>
        <v/>
      </c>
      <c r="E21" s="18">
        <v>0.21</v>
      </c>
      <c r="F21" s="9" t="str">
        <f t="shared" si="1"/>
        <v/>
      </c>
    </row>
    <row r="22" spans="1:6" x14ac:dyDescent="0.2">
      <c r="A22" s="4"/>
      <c r="B22" s="26"/>
      <c r="C22" s="8"/>
      <c r="D22" s="9" t="str">
        <f t="shared" si="0"/>
        <v/>
      </c>
      <c r="E22" s="18">
        <v>0.21</v>
      </c>
      <c r="F22" s="9" t="str">
        <f t="shared" si="1"/>
        <v/>
      </c>
    </row>
    <row r="23" spans="1:6" x14ac:dyDescent="0.2">
      <c r="A23" s="4"/>
      <c r="B23" s="26"/>
      <c r="C23" s="8"/>
      <c r="D23" s="9" t="str">
        <f t="shared" si="0"/>
        <v/>
      </c>
      <c r="E23" s="18">
        <v>0.21</v>
      </c>
      <c r="F23" s="9" t="str">
        <f t="shared" si="1"/>
        <v/>
      </c>
    </row>
    <row r="24" spans="1:6" x14ac:dyDescent="0.2">
      <c r="A24" s="4"/>
      <c r="B24" s="26"/>
      <c r="C24" s="8"/>
      <c r="D24" s="9" t="str">
        <f t="shared" si="0"/>
        <v/>
      </c>
      <c r="E24" s="18">
        <v>0.21</v>
      </c>
      <c r="F24" s="9" t="str">
        <f t="shared" si="1"/>
        <v/>
      </c>
    </row>
    <row r="25" spans="1:6" x14ac:dyDescent="0.2">
      <c r="A25" s="4"/>
      <c r="B25" s="26"/>
      <c r="C25" s="8"/>
      <c r="D25" s="9" t="str">
        <f t="shared" si="0"/>
        <v/>
      </c>
      <c r="E25" s="18">
        <v>0.21</v>
      </c>
      <c r="F25" s="9" t="str">
        <f t="shared" si="1"/>
        <v/>
      </c>
    </row>
    <row r="26" spans="1:6" x14ac:dyDescent="0.2">
      <c r="A26" s="4"/>
      <c r="B26" s="26"/>
      <c r="C26" s="8"/>
      <c r="D26" s="9" t="str">
        <f t="shared" si="0"/>
        <v/>
      </c>
      <c r="E26" s="18">
        <v>0.21</v>
      </c>
      <c r="F26" s="9" t="str">
        <f t="shared" si="1"/>
        <v/>
      </c>
    </row>
    <row r="27" spans="1:6" x14ac:dyDescent="0.2">
      <c r="A27" s="4"/>
      <c r="B27" s="26"/>
      <c r="C27" s="8"/>
      <c r="D27" s="9" t="str">
        <f t="shared" si="0"/>
        <v/>
      </c>
      <c r="E27" s="18">
        <v>0.21</v>
      </c>
      <c r="F27" s="9" t="str">
        <f t="shared" si="1"/>
        <v/>
      </c>
    </row>
    <row r="28" spans="1:6" x14ac:dyDescent="0.2">
      <c r="A28" s="4"/>
      <c r="B28" s="26"/>
      <c r="C28" s="8"/>
      <c r="D28" s="9" t="str">
        <f t="shared" si="0"/>
        <v/>
      </c>
      <c r="E28" s="18">
        <v>0.21</v>
      </c>
      <c r="F28" s="9" t="str">
        <f t="shared" si="1"/>
        <v/>
      </c>
    </row>
    <row r="29" spans="1:6" x14ac:dyDescent="0.2">
      <c r="A29" s="4"/>
      <c r="B29" s="26"/>
      <c r="C29" s="8"/>
      <c r="D29" s="9" t="str">
        <f t="shared" si="0"/>
        <v/>
      </c>
      <c r="E29" s="18">
        <v>0.21</v>
      </c>
      <c r="F29" s="9" t="str">
        <f t="shared" si="1"/>
        <v/>
      </c>
    </row>
    <row r="30" spans="1:6" x14ac:dyDescent="0.2">
      <c r="A30" s="4"/>
      <c r="B30" s="26"/>
      <c r="C30" s="8"/>
      <c r="D30" s="9" t="str">
        <f t="shared" si="0"/>
        <v/>
      </c>
      <c r="E30" s="18">
        <v>0.21</v>
      </c>
      <c r="F30" s="9" t="str">
        <f t="shared" si="1"/>
        <v/>
      </c>
    </row>
    <row r="31" spans="1:6" x14ac:dyDescent="0.2">
      <c r="A31" s="4"/>
      <c r="B31" s="26"/>
      <c r="C31" s="8"/>
      <c r="D31" s="9" t="str">
        <f t="shared" si="0"/>
        <v/>
      </c>
      <c r="E31" s="18">
        <v>0.21</v>
      </c>
      <c r="F31" s="9" t="str">
        <f t="shared" si="1"/>
        <v/>
      </c>
    </row>
    <row r="32" spans="1:6" x14ac:dyDescent="0.2">
      <c r="A32" s="4"/>
      <c r="B32" s="26"/>
      <c r="C32" s="8"/>
      <c r="D32" s="9" t="str">
        <f t="shared" si="0"/>
        <v/>
      </c>
      <c r="E32" s="18">
        <v>0.21</v>
      </c>
      <c r="F32" s="9" t="str">
        <f t="shared" si="1"/>
        <v/>
      </c>
    </row>
    <row r="33" spans="1:6" x14ac:dyDescent="0.2">
      <c r="A33" s="4"/>
      <c r="B33" s="26"/>
      <c r="C33" s="8"/>
      <c r="D33" s="9" t="str">
        <f t="shared" si="0"/>
        <v/>
      </c>
      <c r="E33" s="18">
        <v>0.21</v>
      </c>
      <c r="F33" s="9" t="str">
        <f t="shared" si="1"/>
        <v/>
      </c>
    </row>
    <row r="34" spans="1:6" x14ac:dyDescent="0.2">
      <c r="A34" s="4"/>
      <c r="B34" s="26"/>
      <c r="C34" s="8"/>
      <c r="D34" s="9" t="str">
        <f t="shared" si="0"/>
        <v/>
      </c>
      <c r="E34" s="18">
        <v>0.21</v>
      </c>
      <c r="F34" s="9" t="str">
        <f t="shared" si="1"/>
        <v/>
      </c>
    </row>
    <row r="35" spans="1:6" x14ac:dyDescent="0.2">
      <c r="A35" s="4"/>
      <c r="B35" s="26"/>
      <c r="C35" s="8"/>
      <c r="D35" s="9" t="str">
        <f t="shared" si="0"/>
        <v/>
      </c>
      <c r="E35" s="18">
        <v>0.21</v>
      </c>
      <c r="F35" s="9" t="str">
        <f t="shared" si="1"/>
        <v/>
      </c>
    </row>
    <row r="36" spans="1:6" x14ac:dyDescent="0.2">
      <c r="A36" s="4"/>
      <c r="B36" s="26"/>
      <c r="C36" s="8"/>
      <c r="D36" s="9" t="str">
        <f t="shared" si="0"/>
        <v/>
      </c>
      <c r="E36" s="18">
        <v>0.21</v>
      </c>
      <c r="F36" s="9" t="str">
        <f t="shared" si="1"/>
        <v/>
      </c>
    </row>
    <row r="37" spans="1:6" x14ac:dyDescent="0.2">
      <c r="A37" s="4"/>
      <c r="B37" s="26"/>
      <c r="C37" s="8"/>
      <c r="D37" s="9" t="str">
        <f t="shared" si="0"/>
        <v/>
      </c>
      <c r="E37" s="18">
        <v>0.21</v>
      </c>
      <c r="F37" s="9" t="str">
        <f t="shared" si="1"/>
        <v/>
      </c>
    </row>
    <row r="38" spans="1:6" x14ac:dyDescent="0.2">
      <c r="A38" s="4"/>
      <c r="B38" s="26"/>
      <c r="C38" s="8"/>
      <c r="D38" s="9" t="str">
        <f t="shared" ref="D38:D69" si="2">IF(AND(B38&lt;&gt;"",C38&lt;&gt;""),B38*C38,"")</f>
        <v/>
      </c>
      <c r="E38" s="18">
        <v>0.21</v>
      </c>
      <c r="F38" s="9" t="str">
        <f t="shared" ref="F38:F69" si="3">IF(AND(D38&lt;&gt;"",E38&lt;&gt;""),D38*E38,"")</f>
        <v/>
      </c>
    </row>
    <row r="39" spans="1:6" x14ac:dyDescent="0.2">
      <c r="A39" s="4"/>
      <c r="B39" s="26"/>
      <c r="C39" s="8"/>
      <c r="D39" s="9" t="str">
        <f t="shared" si="2"/>
        <v/>
      </c>
      <c r="E39" s="18">
        <v>0.21</v>
      </c>
      <c r="F39" s="9" t="str">
        <f t="shared" si="3"/>
        <v/>
      </c>
    </row>
    <row r="40" spans="1:6" x14ac:dyDescent="0.2">
      <c r="A40" s="4"/>
      <c r="B40" s="26"/>
      <c r="C40" s="8"/>
      <c r="D40" s="9" t="str">
        <f t="shared" si="2"/>
        <v/>
      </c>
      <c r="E40" s="18">
        <v>0.21</v>
      </c>
      <c r="F40" s="9" t="str">
        <f t="shared" si="3"/>
        <v/>
      </c>
    </row>
    <row r="41" spans="1:6" x14ac:dyDescent="0.2">
      <c r="A41" s="4"/>
      <c r="B41" s="26"/>
      <c r="C41" s="8"/>
      <c r="D41" s="9" t="str">
        <f t="shared" si="2"/>
        <v/>
      </c>
      <c r="E41" s="18">
        <v>0.21</v>
      </c>
      <c r="F41" s="9" t="str">
        <f t="shared" si="3"/>
        <v/>
      </c>
    </row>
    <row r="42" spans="1:6" x14ac:dyDescent="0.2">
      <c r="A42" s="4"/>
      <c r="B42" s="26"/>
      <c r="C42" s="8"/>
      <c r="D42" s="9" t="str">
        <f t="shared" si="2"/>
        <v/>
      </c>
      <c r="E42" s="18">
        <v>0.21</v>
      </c>
      <c r="F42" s="9" t="str">
        <f t="shared" si="3"/>
        <v/>
      </c>
    </row>
    <row r="43" spans="1:6" x14ac:dyDescent="0.2">
      <c r="A43" s="4"/>
      <c r="B43" s="26"/>
      <c r="C43" s="8"/>
      <c r="D43" s="9" t="str">
        <f t="shared" si="2"/>
        <v/>
      </c>
      <c r="E43" s="18">
        <v>0.21</v>
      </c>
      <c r="F43" s="9" t="str">
        <f t="shared" si="3"/>
        <v/>
      </c>
    </row>
    <row r="44" spans="1:6" x14ac:dyDescent="0.2">
      <c r="A44" s="4"/>
      <c r="B44" s="26"/>
      <c r="C44" s="8"/>
      <c r="D44" s="9" t="str">
        <f t="shared" si="2"/>
        <v/>
      </c>
      <c r="E44" s="18">
        <v>0.21</v>
      </c>
      <c r="F44" s="9" t="str">
        <f t="shared" si="3"/>
        <v/>
      </c>
    </row>
    <row r="45" spans="1:6" x14ac:dyDescent="0.2">
      <c r="A45" s="4"/>
      <c r="B45" s="26"/>
      <c r="C45" s="8"/>
      <c r="D45" s="9" t="str">
        <f t="shared" si="2"/>
        <v/>
      </c>
      <c r="E45" s="18">
        <v>0.21</v>
      </c>
      <c r="F45" s="9" t="str">
        <f t="shared" si="3"/>
        <v/>
      </c>
    </row>
    <row r="46" spans="1:6" x14ac:dyDescent="0.2">
      <c r="A46" s="4"/>
      <c r="B46" s="26"/>
      <c r="C46" s="8"/>
      <c r="D46" s="9" t="str">
        <f t="shared" si="2"/>
        <v/>
      </c>
      <c r="E46" s="18">
        <v>0.21</v>
      </c>
      <c r="F46" s="9" t="str">
        <f t="shared" si="3"/>
        <v/>
      </c>
    </row>
    <row r="47" spans="1:6" x14ac:dyDescent="0.2">
      <c r="A47" s="4"/>
      <c r="B47" s="26"/>
      <c r="C47" s="8"/>
      <c r="D47" s="9" t="str">
        <f t="shared" si="2"/>
        <v/>
      </c>
      <c r="E47" s="18">
        <v>0.21</v>
      </c>
      <c r="F47" s="9" t="str">
        <f t="shared" si="3"/>
        <v/>
      </c>
    </row>
    <row r="48" spans="1:6" x14ac:dyDescent="0.2">
      <c r="A48" s="4"/>
      <c r="B48" s="26"/>
      <c r="C48" s="8"/>
      <c r="D48" s="9" t="str">
        <f t="shared" si="2"/>
        <v/>
      </c>
      <c r="E48" s="18">
        <v>0.21</v>
      </c>
      <c r="F48" s="9" t="str">
        <f t="shared" si="3"/>
        <v/>
      </c>
    </row>
    <row r="49" spans="1:6" x14ac:dyDescent="0.2">
      <c r="A49" s="4"/>
      <c r="B49" s="26"/>
      <c r="C49" s="8"/>
      <c r="D49" s="9" t="str">
        <f t="shared" si="2"/>
        <v/>
      </c>
      <c r="E49" s="18">
        <v>0.21</v>
      </c>
      <c r="F49" s="9" t="str">
        <f t="shared" si="3"/>
        <v/>
      </c>
    </row>
    <row r="50" spans="1:6" x14ac:dyDescent="0.2">
      <c r="A50" s="4"/>
      <c r="B50" s="26"/>
      <c r="C50" s="8"/>
      <c r="D50" s="9" t="str">
        <f t="shared" si="2"/>
        <v/>
      </c>
      <c r="E50" s="18">
        <v>0.21</v>
      </c>
      <c r="F50" s="9" t="str">
        <f t="shared" si="3"/>
        <v/>
      </c>
    </row>
    <row r="51" spans="1:6" x14ac:dyDescent="0.2">
      <c r="A51" s="4"/>
      <c r="B51" s="26"/>
      <c r="C51" s="8"/>
      <c r="D51" s="9" t="str">
        <f t="shared" si="2"/>
        <v/>
      </c>
      <c r="E51" s="18">
        <v>0.21</v>
      </c>
      <c r="F51" s="9" t="str">
        <f t="shared" si="3"/>
        <v/>
      </c>
    </row>
    <row r="52" spans="1:6" x14ac:dyDescent="0.2">
      <c r="A52" s="4"/>
      <c r="B52" s="26"/>
      <c r="C52" s="8"/>
      <c r="D52" s="9" t="str">
        <f t="shared" si="2"/>
        <v/>
      </c>
      <c r="E52" s="18">
        <v>0.21</v>
      </c>
      <c r="F52" s="9" t="str">
        <f t="shared" si="3"/>
        <v/>
      </c>
    </row>
    <row r="53" spans="1:6" x14ac:dyDescent="0.2">
      <c r="A53" s="4"/>
      <c r="B53" s="26"/>
      <c r="C53" s="8"/>
      <c r="D53" s="9" t="str">
        <f t="shared" si="2"/>
        <v/>
      </c>
      <c r="E53" s="18">
        <v>0.21</v>
      </c>
      <c r="F53" s="9" t="str">
        <f t="shared" si="3"/>
        <v/>
      </c>
    </row>
    <row r="54" spans="1:6" x14ac:dyDescent="0.2">
      <c r="A54" s="4"/>
      <c r="B54" s="26"/>
      <c r="C54" s="8"/>
      <c r="D54" s="9" t="str">
        <f t="shared" si="2"/>
        <v/>
      </c>
      <c r="E54" s="18">
        <v>0.21</v>
      </c>
      <c r="F54" s="9" t="str">
        <f t="shared" si="3"/>
        <v/>
      </c>
    </row>
    <row r="55" spans="1:6" x14ac:dyDescent="0.2">
      <c r="A55" s="4"/>
      <c r="B55" s="26"/>
      <c r="C55" s="8"/>
      <c r="D55" s="9" t="str">
        <f t="shared" si="2"/>
        <v/>
      </c>
      <c r="E55" s="18">
        <v>0.21</v>
      </c>
      <c r="F55" s="9" t="str">
        <f t="shared" si="3"/>
        <v/>
      </c>
    </row>
    <row r="57" spans="1:6" x14ac:dyDescent="0.2">
      <c r="A57" s="29" t="s">
        <v>2320</v>
      </c>
      <c r="B57" s="28"/>
      <c r="C57" s="28"/>
      <c r="D57" s="28"/>
      <c r="E57" s="28"/>
      <c r="F57" s="28"/>
    </row>
    <row r="58" spans="1:6" x14ac:dyDescent="0.2">
      <c r="A58" s="1" t="s">
        <v>2335</v>
      </c>
      <c r="B58" s="9">
        <f>SUM(D6:D56)</f>
        <v>0</v>
      </c>
    </row>
    <row r="59" spans="1:6" x14ac:dyDescent="0.2">
      <c r="A59" s="1" t="s">
        <v>2322</v>
      </c>
      <c r="B59" s="9">
        <f>SUM(F6:F57)</f>
        <v>0</v>
      </c>
    </row>
    <row r="60" spans="1:6" x14ac:dyDescent="0.2">
      <c r="A60" s="23" t="s">
        <v>2336</v>
      </c>
      <c r="B60" s="24">
        <f>IF(B58="","",B58+B59)</f>
        <v>0</v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4536C51-8427-41E8-BF63-0FDC2E40DD76}"/>
</file>

<file path=customXml/itemProps2.xml><?xml version="1.0" encoding="utf-8"?>
<ds:datastoreItem xmlns:ds="http://schemas.openxmlformats.org/officeDocument/2006/customXml" ds:itemID="{1B0E4DB1-079D-4810-897C-519075176F31}"/>
</file>

<file path=customXml/itemProps3.xml><?xml version="1.0" encoding="utf-8"?>
<ds:datastoreItem xmlns:ds="http://schemas.openxmlformats.org/officeDocument/2006/customXml" ds:itemID="{746998F8-A447-4816-AA41-EAF6ABB6E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62</vt:i4>
      </vt:variant>
    </vt:vector>
  </HeadingPairs>
  <TitlesOfParts>
    <vt:vector size="67" baseType="lpstr">
      <vt:lpstr>Algemeen</vt:lpstr>
      <vt:lpstr>Lists</vt:lpstr>
      <vt:lpstr>GWE_Detail</vt:lpstr>
      <vt:lpstr>Schoonmaak</vt:lpstr>
      <vt:lpstr>Schade</vt:lpstr>
      <vt:lpstr>Aantal_dagen</vt:lpstr>
      <vt:lpstr>Borg_gebruikt</vt:lpstr>
      <vt:lpstr>Borg_terug</vt:lpstr>
      <vt:lpstr>BTW_percentage_schoonmaak</vt:lpstr>
      <vt:lpstr>Contractnummer</vt:lpstr>
      <vt:lpstr>Email</vt:lpstr>
      <vt:lpstr>Energie_leverancier</vt:lpstr>
      <vt:lpstr>Extra_schoonmaak_bedrag</vt:lpstr>
      <vt:lpstr>Extra_schoonmaak_bedrag_calc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GWE_Beheer</vt:lpstr>
      <vt:lpstr>GWE_BTW</vt:lpstr>
      <vt:lpstr>GWE_Maandbedrag</vt:lpstr>
      <vt:lpstr>GWE_meer_minder</vt:lpstr>
      <vt:lpstr>GWE_totaal_excl</vt:lpstr>
      <vt:lpstr>GWE_totaal_incl</vt:lpstr>
      <vt:lpstr>Inbegrepen_uren</vt:lpstr>
      <vt:lpstr>Incheck_datum</vt:lpstr>
      <vt:lpstr>Klant_Adres</vt:lpstr>
      <vt:lpstr>Klant_Plaats</vt:lpstr>
      <vt:lpstr>Klant_Postcode</vt:lpstr>
      <vt:lpstr>Klantnaam</vt:lpstr>
      <vt:lpstr>Klantnummer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Schoonmaak_totaal_kosten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  <vt:lpstr>Water_begin</vt:lpstr>
      <vt:lpstr>Water_eind</vt:lpstr>
      <vt:lpstr>Water_verbruik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2025-12-04T15:37:45Z</dcterms:created>
  <dcterms:modified xsi:type="dcterms:W3CDTF">2025-12-04T15:52:41Z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