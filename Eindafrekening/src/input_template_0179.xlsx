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0" documentId="8_{CCA6185A-C104-8643-9703-BFE72B297D56}" xr6:coauthVersionLast="47" xr6:coauthVersionMax="47" xr10:uidLastSave="{00000000-0000-0000-0000-000000000000}"/>
  <bookViews>
    <workbookView xWindow="0" yWindow="760" windowWidth="34560" windowHeight="20160" activeTab="1" xr2:uid="{00000000-000D-0000-FFFF-FFFF00000000}"/>
  </bookViews>
  <sheets>
    <sheet name="Algemeen" sheetId="1" r:id="rId1"/>
    <sheet name="GWE_Detail" sheetId="2" r:id="rId2"/>
    <sheet name="Schoonmaak" sheetId="3" r:id="rId3"/>
    <sheet name="Schade" sheetId="4" r:id="rId4"/>
  </sheets>
  <definedNames>
    <definedName name="Aantal_dagen">Algemeen!$B$19</definedName>
    <definedName name="Borg_gebruikt">Algemeen!$B$45</definedName>
    <definedName name="Borg_terug">Algemeen!$B$46</definedName>
    <definedName name="Contactpersoon">Algemeen!$B$5</definedName>
    <definedName name="Contractnummer">Algemeen!$B$35</definedName>
    <definedName name="Email">Algemeen!$B$6</definedName>
    <definedName name="Energie_leverancier">Algemeen!$B$34</definedName>
    <definedName name="Extra_schoonmaak_bedrag">Schoonmaak!$B$9</definedName>
    <definedName name="Extra_uren">Schoonmaak!$B$7</definedName>
    <definedName name="Extra_voorschot_bedrag">Algemeen!$B$26</definedName>
    <definedName name="Extra_voorschot_gebruikt">Algemeen!$B$49</definedName>
    <definedName name="Extra_voorschot_omschrijving">Algemeen!$B$27</definedName>
    <definedName name="Extra_voorschot_restschade">Algemeen!$B$51</definedName>
    <definedName name="Extra_voorschot_terug">Algemeen!$B$50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Algemeen!$B$48</definedName>
    <definedName name="GWE_totaal_excl">GWE_Detail!$B$36</definedName>
    <definedName name="GWE_totaal_incl">GWE_Detail!$B$38</definedName>
    <definedName name="Inbegrepen_uren">Algemeen!$B$31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Algemeen!$B$33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Algemeen!$B$47</definedName>
    <definedName name="RR_Factuurnummer">Algemeen!$B$42</definedName>
    <definedName name="RR_Folder_link">Algemeen!$B$39</definedName>
    <definedName name="RR_Inspecteur">Algemeen!$B$41</definedName>
    <definedName name="RR_Klantnummer">Algemeen!$B$38</definedName>
    <definedName name="RR_Projectleider">Algemeen!$B$40</definedName>
    <definedName name="Schade_BTW">Schade!$B$59</definedName>
    <definedName name="Schade_totaal_excl">Schade!$B$58</definedName>
    <definedName name="Schade_totaal_incl">Schade!$B$60</definedName>
    <definedName name="Schoonmaak_pakket">Algemeen!$B$30</definedName>
    <definedName name="Telefoonnummer">Algemeen!$B$7</definedName>
    <definedName name="Totaal_eindafrekening">Algemeen!$B$52</definedName>
    <definedName name="Totaal_uren_gew">Schoonmaak!$B$6</definedName>
    <definedName name="Uitcheck_datum">Algemeen!$B$18</definedName>
    <definedName name="Unit_nr">Algemeen!$B$11</definedName>
    <definedName name="Uurtarief_schoonmaak">Algemeen!$B$32</definedName>
    <definedName name="Voorschot_borg">Algemeen!$B$22</definedName>
    <definedName name="Voorschot_GWE">Algemeen!$B$23</definedName>
    <definedName name="Voorschot_schoonmaak">Algemeen!$B$24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D23" i="2"/>
  <c r="D22" i="2"/>
  <c r="D21" i="2"/>
  <c r="D20" i="2"/>
  <c r="D19" i="2"/>
  <c r="B6" i="2"/>
  <c r="B5" i="2"/>
  <c r="B4" i="2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8" i="3"/>
  <c r="B4" i="3"/>
  <c r="B5" i="3" s="1"/>
  <c r="B7" i="3" s="1"/>
  <c r="B9" i="3" s="1"/>
  <c r="B9" i="2"/>
  <c r="D15" i="2" s="1"/>
  <c r="D14" i="2"/>
  <c r="B51" i="1"/>
  <c r="B50" i="1"/>
  <c r="B31" i="1"/>
  <c r="B19" i="1"/>
  <c r="D18" i="2" s="1"/>
  <c r="B58" i="4" l="1"/>
  <c r="B59" i="4" s="1"/>
  <c r="B60" i="4" s="1"/>
  <c r="B45" i="1" s="1"/>
  <c r="D16" i="2"/>
  <c r="D17" i="2"/>
  <c r="B36" i="2" l="1"/>
  <c r="B37" i="2" s="1"/>
  <c r="B38" i="2" s="1"/>
  <c r="B48" i="1" s="1"/>
  <c r="B47" i="1"/>
  <c r="B46" i="1"/>
  <c r="B52" i="1" l="1"/>
</calcChain>
</file>

<file path=xl/sharedStrings.xml><?xml version="1.0" encoding="utf-8"?>
<sst xmlns="http://schemas.openxmlformats.org/spreadsheetml/2006/main" count="103" uniqueCount="98">
  <si>
    <t>RYANRENT EINDAFREKENING - BASISGEGEVENS</t>
  </si>
  <si>
    <t>KLANTGEGEVENS</t>
  </si>
  <si>
    <t>Naam Klant *</t>
  </si>
  <si>
    <t>Contactpersoon</t>
  </si>
  <si>
    <t>Email *</t>
  </si>
  <si>
    <t>Telefoonnummer</t>
  </si>
  <si>
    <t>OBJECTGEGEVENS</t>
  </si>
  <si>
    <t>Adres Object *</t>
  </si>
  <si>
    <t>Unit Nummer</t>
  </si>
  <si>
    <t>Postcode</t>
  </si>
  <si>
    <t>Plaats</t>
  </si>
  <si>
    <t>Object ID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</si>
  <si>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</si>
  <si>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</si>
  <si>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</si>
  <si>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</si>
  <si>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</si>
  <si>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</si>
  <si>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Voorschot GWE *</t>
  </si>
  <si>
    <t>Voorschot Schoonmaak *</t>
  </si>
  <si>
    <t>Overige Voorschotten</t>
  </si>
  <si>
    <t>Extra Voorschot Bedrag</t>
  </si>
  <si>
    <t>Extra Voorschot Omschrijving</t>
  </si>
  <si>
    <t>CONTRACTGEGEVENS</t>
  </si>
  <si>
    <t>Schoonmaak Pakket *</t>
  </si>
  <si>
    <t>Inbegrepen Uren (automatisch)</t>
  </si>
  <si>
    <t>Uurtarief Schoonmaak *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</si>
  <si>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</si>
  <si>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</si>
  <si>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</si>
  <si>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</si>
  <si>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</si>
  <si>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</si>
  <si>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</si>
  <si>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</si>
  <si>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</si>
  <si>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</si>
  <si>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</si>
  <si>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</si>
  <si>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</si>
  <si>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</si>
  <si>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</si>
  <si>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Extra Voorschot Gebruikt *</t>
  </si>
  <si>
    <t>Extra Voorschot Terug (automatisch)</t>
  </si>
  <si>
    <t>Extra Voorschot Restschade (automatisch)</t>
  </si>
  <si>
    <t>Totaal Eindafrekening (automatisch)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</si>
  <si>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</si>
  <si>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</si>
  <si>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</si>
  <si>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</si>
  <si>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</si>
  <si>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</si>
  <si>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</si>
  <si>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</si>
  <si>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</si>
  <si>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</si>
  <si>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Omschrijving</t>
  </si>
  <si>
    <t>Verbruik (kWh/m³) of Dagen</t>
  </si>
  <si>
    <t>Tarief excl. BTW (€)</t>
  </si>
  <si>
    <t>Kosten excl. BTW (€)</t>
  </si>
  <si>
    <t>TOTALEN (automatisch berekend)</t>
  </si>
  <si>
    <t>Totaal excl. BTW (automatisch)</t>
  </si>
  <si>
    <t>BTW 21% (automatisch)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</si>
  <si>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</si>
  <si>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</si>
  <si>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</si>
  <si>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</si>
  <si>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</si>
  <si>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</si>
  <si>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Extra Schoonmaak Bedrag (automatisch)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</si>
  <si>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</si>
  <si>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</si>
  <si>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</si>
  <si>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</si>
  <si>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</si>
  <si>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</si>
  <si>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</si>
  <si>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</si>
  <si>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deur kapot</t>
  </si>
  <si>
    <t>arbeid</t>
  </si>
  <si>
    <t>geen</t>
  </si>
  <si>
    <t>DS People</t>
  </si>
  <si>
    <t>piet@dspeople.nl</t>
  </si>
  <si>
    <t>Rooseveltlaan 185 Bergen op Zoom</t>
  </si>
  <si>
    <t>4624DM</t>
  </si>
  <si>
    <t>bergen op zoom</t>
  </si>
  <si>
    <t>Vattenfal</t>
  </si>
  <si>
    <t>Levering</t>
  </si>
  <si>
    <t>Vastrecht</t>
  </si>
  <si>
    <t>Belasting op leiding water</t>
  </si>
  <si>
    <t>Precarioheffing</t>
  </si>
  <si>
    <t>Enkel tarief</t>
  </si>
  <si>
    <t>Vermindering Energie belasting</t>
  </si>
  <si>
    <t>Gas Verbruik</t>
  </si>
  <si>
    <t>Vaste Leveringskosten (Gas)</t>
  </si>
  <si>
    <t>Vaste Leveringskosten (Elektra)</t>
  </si>
  <si>
    <t>Net beheerkosten 3 x 25 p/d (gas)</t>
  </si>
  <si>
    <t>Net beheerkosten 3 x 25 p/d (elektra)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</si>
</sst>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€\ #,##0.00"/>
  </numFmts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0" fontId="4" fillId="0" borderId="0" xfId="0" applyFont="1"/>
    <xf numFmtId="165" fontId="0" fillId="5" borderId="1" xfId="0" applyNumberFormat="1" applyFill="1" applyBorder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0" fontId="7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/>
    <xf numFmtId="4" fontId="8" fillId="9" borderId="1" xfId="0" applyNumberFormat="1" applyFont="1" applyFill="1" applyBorder="1"/>
    <xf numFmtId="165" fontId="8" fillId="9" borderId="1" xfId="0" applyNumberFormat="1" applyFont="1" applyFill="1" applyBorder="1"/>
    <xf numFmtId="4" fontId="0" fillId="0" borderId="1" xfId="0" applyNumberFormat="1" applyBorder="1"/>
    <xf numFmtId="0" fontId="9" fillId="0" borderId="0" xfId="0" applyFont="1"/>
    <xf numFmtId="165" fontId="9" fillId="5" borderId="2" xfId="0" applyNumberFormat="1" applyFont="1" applyFill="1" applyBorder="1"/>
    <xf numFmtId="0" fontId="10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10" fillId="4" borderId="1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/>
    <xf numFmtId="0" fontId="2" fillId="6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/>
    <xf numFmtId="0" fontId="2" fillId="11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et@dspeople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52"/>
  <sheetViews>
    <sheetView zoomScale="136" zoomScaleNormal="136" workbookViewId="0">
      <pane ySplit="2" topLeftCell="A18" activePane="bottomLeft" state="frozen"/>
      <selection pane="bottomLeft" activeCell="B42" sqref="B42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29" t="s">
        <v>0</v>
      </c>
      <c r="B1" s="30"/>
    </row>
    <row r="3" spans="1:2" x14ac:dyDescent="0.2">
      <c r="A3" s="31" t="s">
        <v>1</v>
      </c>
      <c r="B3" s="30"/>
    </row>
    <row r="4" spans="1:2" x14ac:dyDescent="0.2">
      <c r="A4" s="1" t="s">
        <v>2</v>
      </c>
      <c r="B4" s="2" t="s">
        <v>81</v>
      </c>
    </row>
    <row r="5" spans="1:2" x14ac:dyDescent="0.2">
      <c r="A5" s="1" t="s">
        <v>3</v>
      </c>
      <c r="B5" s="3"/>
    </row>
    <row r="6" spans="1:2" x14ac:dyDescent="0.2">
      <c r="A6" s="1" t="s">
        <v>4</v>
      </c>
      <c r="B6" s="40" t="s">
        <v>82</v>
      </c>
    </row>
    <row r="7" spans="1:2" x14ac:dyDescent="0.2">
      <c r="A7" s="1" t="s">
        <v>5</v>
      </c>
      <c r="B7" s="3"/>
    </row>
    <row r="9" spans="1:2" x14ac:dyDescent="0.2">
      <c r="A9" s="31" t="s">
        <v>6</v>
      </c>
      <c r="B9" s="30"/>
    </row>
    <row r="10" spans="1:2" x14ac:dyDescent="0.2">
      <c r="A10" s="1" t="s">
        <v>7</v>
      </c>
      <c r="B10" s="3" t="s">
        <v>83</v>
      </c>
    </row>
    <row r="11" spans="1:2" x14ac:dyDescent="0.2">
      <c r="A11" s="1" t="s">
        <v>8</v>
      </c>
      <c r="B11" s="3"/>
    </row>
    <row r="12" spans="1:2" x14ac:dyDescent="0.2">
      <c r="A12" s="1" t="s">
        <v>9</v>
      </c>
      <c r="B12" s="3" t="s">
        <v>84</v>
      </c>
    </row>
    <row r="13" spans="1:2" x14ac:dyDescent="0.2">
      <c r="A13" s="1" t="s">
        <v>10</v>
      </c>
      <c r="B13" s="3" t="s">
        <v>85</v>
      </c>
    </row>
    <row r="14" spans="1:2" x14ac:dyDescent="0.2">
      <c r="A14" s="1" t="s">
        <v>11</v>
      </c>
      <c r="B14" s="3">
        <v>179</v>
      </c>
    </row>
    <row r="16" spans="1:2" x14ac:dyDescent="0.2">
      <c r="A16" s="31" t="s">
        <v>12</v>
      </c>
      <c r="B16" s="30"/>
    </row>
    <row r="17" spans="1:2" x14ac:dyDescent="0.2">
      <c r="A17" s="1" t="s">
        <v>13</v>
      </c>
      <c r="B17" s="4">
        <v>45383</v>
      </c>
    </row>
    <row r="18" spans="1:2" x14ac:dyDescent="0.2">
      <c r="A18" s="1" t="s">
        <v>14</v>
      </c>
      <c r="B18" s="4">
        <v>45961</v>
      </c>
    </row>
    <row r="19" spans="1:2" x14ac:dyDescent="0.2">
      <c r="A19" s="1" t="s">
        <v>15</v>
      </c>
      <c r="B19" s="5">
        <f>IF(AND(B17&lt;&gt;"",B18&lt;&gt;""),B18-B17,"")</f>
        <v>578</v>
      </c>
    </row>
    <row r="21" spans="1:2" x14ac:dyDescent="0.2">
      <c r="A21" s="31" t="s">
        <v>16</v>
      </c>
      <c r="B21" s="30"/>
    </row>
    <row r="22" spans="1:2" x14ac:dyDescent="0.2">
      <c r="A22" s="1" t="s">
        <v>17</v>
      </c>
      <c r="B22" s="6">
        <v>3100</v>
      </c>
    </row>
    <row r="23" spans="1:2" x14ac:dyDescent="0.2">
      <c r="A23" s="1" t="s">
        <v>18</v>
      </c>
      <c r="B23" s="6">
        <v>300</v>
      </c>
    </row>
    <row r="24" spans="1:2" x14ac:dyDescent="0.2">
      <c r="A24" s="1" t="s">
        <v>19</v>
      </c>
      <c r="B24" s="6">
        <v>0</v>
      </c>
    </row>
    <row r="25" spans="1:2" x14ac:dyDescent="0.2">
      <c r="A25" s="1" t="s">
        <v>20</v>
      </c>
      <c r="B25" s="7">
        <v>0</v>
      </c>
    </row>
    <row r="26" spans="1:2" x14ac:dyDescent="0.2">
      <c r="A26" s="1" t="s">
        <v>21</v>
      </c>
      <c r="B26" s="7">
        <v>0</v>
      </c>
    </row>
    <row r="27" spans="1:2" x14ac:dyDescent="0.2">
      <c r="A27" s="1" t="s">
        <v>22</v>
      </c>
      <c r="B27" s="3"/>
    </row>
    <row r="29" spans="1:2" x14ac:dyDescent="0.2">
      <c r="A29" s="31" t="s">
        <v>23</v>
      </c>
      <c r="B29" s="30"/>
    </row>
    <row r="30" spans="1:2" x14ac:dyDescent="0.2">
      <c r="A30" s="1" t="s">
        <v>24</v>
      </c>
      <c r="B30" s="2" t="s">
        <v>80</v>
      </c>
    </row>
    <row r="31" spans="1:2" x14ac:dyDescent="0.2">
      <c r="A31" s="1" t="s">
        <v>25</v>
      </c>
      <c r="B31" s="5" t="str">
        <f>IF(B30="Basis Schoonmaak",5,IF(B30="Intensief Schoonmaak",7,""))</f>
        <v/>
      </c>
    </row>
    <row r="32" spans="1:2" x14ac:dyDescent="0.2">
      <c r="A32" s="1" t="s">
        <v>26</v>
      </c>
      <c r="B32" s="6">
        <v>50</v>
      </c>
    </row>
    <row r="33" spans="1:3" x14ac:dyDescent="0.2">
      <c r="A33" s="1" t="s">
        <v>27</v>
      </c>
      <c r="B33" s="3" t="s">
        <v>86</v>
      </c>
    </row>
    <row r="34" spans="1:3" x14ac:dyDescent="0.2">
      <c r="A34" s="1" t="s">
        <v>28</v>
      </c>
      <c r="B34" s="3" t="s">
        <v>86</v>
      </c>
    </row>
    <row r="35" spans="1:3" x14ac:dyDescent="0.2">
      <c r="A35" s="1" t="s">
        <v>29</v>
      </c>
      <c r="B35" s="3"/>
    </row>
    <row r="37" spans="1:3" x14ac:dyDescent="0.2">
      <c r="A37" s="31" t="s">
        <v>30</v>
      </c>
      <c r="B37" s="30"/>
    </row>
    <row r="38" spans="1:3" x14ac:dyDescent="0.2">
      <c r="A38" s="1" t="s">
        <v>31</v>
      </c>
      <c r="B38" s="3">
        <v>80</v>
      </c>
    </row>
    <row r="39" spans="1:3" x14ac:dyDescent="0.2">
      <c r="A39" s="1" t="s">
        <v>32</v>
      </c>
      <c r="B39" s="3"/>
    </row>
    <row r="40" spans="1:3" x14ac:dyDescent="0.2">
      <c r="A40" s="1" t="s">
        <v>33</v>
      </c>
      <c r="B40" s="3"/>
    </row>
    <row r="41" spans="1:3" x14ac:dyDescent="0.2">
      <c r="A41" s="1" t="s">
        <v>34</v>
      </c>
      <c r="B41" s="3"/>
    </row>
    <row r="42" spans="1:3" x14ac:dyDescent="0.2">
      <c r="A42" s="1" t="s">
        <v>35</v>
      </c>
      <c r="B42" s="3"/>
    </row>
    <row r="44" spans="1:3" x14ac:dyDescent="0.2">
      <c r="A44" s="32" t="s">
        <v>36</v>
      </c>
      <c r="B44" s="30"/>
      <c r="C44" s="8" t="s">
        <v>37</v>
      </c>
    </row>
    <row r="45" spans="1:3" x14ac:dyDescent="0.2">
      <c r="A45" s="1" t="s">
        <v>38</v>
      </c>
      <c r="B45" s="9">
        <f>[0]!Schade_totaal_incl</f>
        <v>8107</v>
      </c>
    </row>
    <row r="46" spans="1:3" x14ac:dyDescent="0.2">
      <c r="A46" s="1" t="s">
        <v>39</v>
      </c>
      <c r="B46" s="9">
        <f>IF(Borg_gebruikt="","",Voorschot_borg-Borg_gebruikt)</f>
        <v>-5007</v>
      </c>
    </row>
    <row r="47" spans="1:3" x14ac:dyDescent="0.2">
      <c r="A47" s="1" t="s">
        <v>40</v>
      </c>
      <c r="B47" s="9">
        <f>IF(Borg_gebruikt="","",MAX(0,Borg_gebruikt-Voorschot_borg))</f>
        <v>5007</v>
      </c>
    </row>
    <row r="48" spans="1:3" x14ac:dyDescent="0.2">
      <c r="A48" s="1" t="s">
        <v>41</v>
      </c>
      <c r="B48" s="9">
        <f>IF([0]!GWE_totaal_incl="","",Voorschot_GWE-[0]!GWE_totaal_incl)</f>
        <v>-7350.6021945099983</v>
      </c>
    </row>
    <row r="49" spans="1:2" x14ac:dyDescent="0.2">
      <c r="A49" s="1" t="s">
        <v>42</v>
      </c>
      <c r="B49" s="6">
        <v>0</v>
      </c>
    </row>
    <row r="50" spans="1:2" x14ac:dyDescent="0.2">
      <c r="A50" s="1" t="s">
        <v>43</v>
      </c>
      <c r="B50" s="9" t="str">
        <f>IF(Extra_voorschot_bedrag=0,"",Extra_voorschot_bedrag-Extra_voorschot_gebruikt)</f>
        <v/>
      </c>
    </row>
    <row r="51" spans="1:2" x14ac:dyDescent="0.2">
      <c r="A51" s="1" t="s">
        <v>44</v>
      </c>
      <c r="B51" s="9" t="str">
        <f>IF(Extra_voorschot_bedrag=0,"",MAX(0,Extra_voorschot_gebruikt-Extra_voorschot_bedrag))</f>
        <v/>
      </c>
    </row>
    <row r="52" spans="1:2" x14ac:dyDescent="0.2">
      <c r="A52" s="10" t="s">
        <v>45</v>
      </c>
      <c r="B52" s="11" t="str">
        <f>IF(OR(Borg_terug="",GWE_meer_minder="",[0]!Extra_schoonmaak_bedrag=""),"",Borg_terug+GWE_meer_minder-[0]!Extra_schoonmaak_bedrag+IF(Extra_voorschot_bedrag=0,0,Extra_voorschot_terug))</f>
        <v/>
      </c>
    </row>
  </sheetData>
  <mergeCells count="8">
    <mergeCell ref="A29:B29"/>
    <mergeCell ref="A37:B37"/>
    <mergeCell ref="A44:B44"/>
    <mergeCell ref="A1:B1"/>
    <mergeCell ref="A9:B9"/>
    <mergeCell ref="A3:B3"/>
    <mergeCell ref="A21:B21"/>
    <mergeCell ref="A16:B16"/>
  </mergeCells>
  <dataValidations count="1">
    <dataValidation type="list" errorTitle="Ongeldige invoer" error="Kies geen, Basis Schoonmaak, of Intensief Schoonmaak" sqref="B30" xr:uid="{00000000-0002-0000-0000-000000000000}">
      <formula1>"geen,Basis Schoonmaak,Intensief Schoonmaak"</formula1>
    </dataValidation>
  </dataValidations>
  <hyperlinks>
    <hyperlink ref="B6" r:id="rId1" xr:uid="{8702FA49-753B-5D4B-9865-CFAE2FAC78A0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38"/>
  <sheetViews>
    <sheetView tabSelected="1" workbookViewId="0">
      <pane ySplit="5" topLeftCell="A6" activePane="bottomLeft" state="frozen"/>
      <selection pane="bottomLeft" activeCell="F18" sqref="F18"/>
    </sheetView>
  </sheetViews>
  <sheetFormatPr baseColWidth="10" defaultColWidth="8.83203125" defaultRowHeight="15" x14ac:dyDescent="0.2"/>
  <cols>
    <col min="1" max="1" width="30" customWidth="1"/>
    <col min="2" max="4" width="20" customWidth="1"/>
  </cols>
  <sheetData>
    <row r="1" spans="1:4" ht="16" x14ac:dyDescent="0.2">
      <c r="A1" s="33" t="s">
        <v>46</v>
      </c>
      <c r="B1" s="30"/>
      <c r="C1" s="30"/>
      <c r="D1" s="30"/>
    </row>
    <row r="3" spans="1:4" x14ac:dyDescent="0.2">
      <c r="A3" s="35" t="s">
        <v>47</v>
      </c>
      <c r="B3" s="30"/>
      <c r="C3" s="30"/>
      <c r="D3" s="30"/>
    </row>
    <row r="4" spans="1:4" x14ac:dyDescent="0.2">
      <c r="A4" s="1" t="s">
        <v>48</v>
      </c>
      <c r="B4" s="12">
        <f>8052+5628</f>
        <v>13680</v>
      </c>
    </row>
    <row r="5" spans="1:4" x14ac:dyDescent="0.2">
      <c r="A5" s="1" t="s">
        <v>49</v>
      </c>
      <c r="B5" s="12">
        <f>10076+6830</f>
        <v>16906</v>
      </c>
    </row>
    <row r="6" spans="1:4" x14ac:dyDescent="0.2">
      <c r="A6" s="1" t="s">
        <v>50</v>
      </c>
      <c r="B6" s="13">
        <f>IF(AND(B4&lt;&gt;"",B5&lt;&gt;""),B5-B4,"")</f>
        <v>3226</v>
      </c>
    </row>
    <row r="7" spans="1:4" x14ac:dyDescent="0.2">
      <c r="A7" s="1" t="s">
        <v>51</v>
      </c>
      <c r="B7" s="14">
        <v>12159</v>
      </c>
    </row>
    <row r="8" spans="1:4" x14ac:dyDescent="0.2">
      <c r="A8" s="1" t="s">
        <v>52</v>
      </c>
      <c r="B8" s="14">
        <v>15360</v>
      </c>
    </row>
    <row r="9" spans="1:4" x14ac:dyDescent="0.2">
      <c r="A9" s="1" t="s">
        <v>53</v>
      </c>
      <c r="B9" s="15">
        <f>IF(AND(B7&lt;&gt;"",B8&lt;&gt;""),B8-B7,"")</f>
        <v>3201</v>
      </c>
    </row>
    <row r="11" spans="1:4" x14ac:dyDescent="0.2">
      <c r="A11" s="35" t="s">
        <v>54</v>
      </c>
      <c r="B11" s="30"/>
      <c r="C11" s="30"/>
      <c r="D11" s="30"/>
    </row>
    <row r="12" spans="1:4" ht="30" customHeight="1" x14ac:dyDescent="0.2">
      <c r="A12" s="34" t="s">
        <v>55</v>
      </c>
      <c r="B12" s="30"/>
      <c r="C12" s="30"/>
      <c r="D12" s="30"/>
    </row>
    <row r="13" spans="1:4" ht="30" customHeight="1" x14ac:dyDescent="0.2">
      <c r="A13" s="16" t="s">
        <v>56</v>
      </c>
      <c r="B13" s="16" t="s">
        <v>57</v>
      </c>
      <c r="C13" s="16" t="s">
        <v>58</v>
      </c>
      <c r="D13" s="16" t="s">
        <v>59</v>
      </c>
    </row>
    <row r="14" spans="1:4" x14ac:dyDescent="0.2">
      <c r="A14" s="17" t="s">
        <v>87</v>
      </c>
      <c r="B14" s="18">
        <v>185</v>
      </c>
      <c r="C14" s="19">
        <v>1.29</v>
      </c>
      <c r="D14" s="19">
        <f>B14*C14</f>
        <v>238.65</v>
      </c>
    </row>
    <row r="15" spans="1:4" x14ac:dyDescent="0.2">
      <c r="A15" s="17" t="s">
        <v>88</v>
      </c>
      <c r="B15" s="18">
        <v>579</v>
      </c>
      <c r="C15" s="19">
        <v>0.25474000000000002</v>
      </c>
      <c r="D15" s="19">
        <f>B15*C15</f>
        <v>147.49446</v>
      </c>
    </row>
    <row r="16" spans="1:4" x14ac:dyDescent="0.2">
      <c r="A16" s="17" t="s">
        <v>89</v>
      </c>
      <c r="B16" s="18">
        <v>185</v>
      </c>
      <c r="C16" s="19">
        <v>0.45800000000000002</v>
      </c>
      <c r="D16" s="19">
        <f>B16*C16</f>
        <v>84.73</v>
      </c>
    </row>
    <row r="17" spans="1:4" x14ac:dyDescent="0.2">
      <c r="A17" s="17" t="s">
        <v>90</v>
      </c>
      <c r="B17" s="18">
        <v>185</v>
      </c>
      <c r="C17" s="19">
        <v>9.2299999999999993E-2</v>
      </c>
      <c r="D17" s="19">
        <f>B17*C17</f>
        <v>17.075499999999998</v>
      </c>
    </row>
    <row r="18" spans="1:4" x14ac:dyDescent="0.2">
      <c r="A18" s="17" t="s">
        <v>91</v>
      </c>
      <c r="B18" s="18">
        <v>3308</v>
      </c>
      <c r="C18" s="19">
        <v>0.274476</v>
      </c>
      <c r="D18" s="19">
        <f>B18*C18</f>
        <v>907.96660799999995</v>
      </c>
    </row>
    <row r="19" spans="1:4" x14ac:dyDescent="0.2">
      <c r="A19" s="3" t="s">
        <v>95</v>
      </c>
      <c r="B19" s="20">
        <v>579</v>
      </c>
      <c r="C19" s="7">
        <v>0.39780799999999999</v>
      </c>
      <c r="D19" s="7">
        <f>B19*C19</f>
        <v>230.33083199999999</v>
      </c>
    </row>
    <row r="20" spans="1:4" x14ac:dyDescent="0.2">
      <c r="A20" s="3" t="s">
        <v>92</v>
      </c>
      <c r="B20" s="20">
        <v>579</v>
      </c>
      <c r="C20" s="7">
        <v>-1.740245</v>
      </c>
      <c r="D20" s="7">
        <f>B20*C20</f>
        <v>-1007.601855</v>
      </c>
    </row>
    <row r="21" spans="1:4" x14ac:dyDescent="0.2">
      <c r="A21" s="3" t="s">
        <v>97</v>
      </c>
      <c r="B21" s="20">
        <v>579</v>
      </c>
      <c r="C21" s="7">
        <v>1.3038959999999999</v>
      </c>
      <c r="D21" s="7">
        <f>B21*C21</f>
        <v>754.95578399999999</v>
      </c>
    </row>
    <row r="22" spans="1:4" x14ac:dyDescent="0.2">
      <c r="A22" s="3" t="s">
        <v>93</v>
      </c>
      <c r="B22" s="20">
        <v>3406</v>
      </c>
      <c r="C22" s="7">
        <v>1.287755</v>
      </c>
      <c r="D22" s="7">
        <f>B22*C22</f>
        <v>4386.0935300000001</v>
      </c>
    </row>
    <row r="23" spans="1:4" x14ac:dyDescent="0.2">
      <c r="A23" s="3" t="s">
        <v>94</v>
      </c>
      <c r="B23" s="20">
        <v>579</v>
      </c>
      <c r="C23" s="7">
        <v>0.29835600000000001</v>
      </c>
      <c r="D23" s="7">
        <f>B23*C23</f>
        <v>172.74812400000002</v>
      </c>
    </row>
    <row r="24" spans="1:4" x14ac:dyDescent="0.2">
      <c r="A24" s="3" t="s">
        <v>96</v>
      </c>
      <c r="B24" s="20">
        <v>579</v>
      </c>
      <c r="C24" s="7">
        <v>0.67421200000000003</v>
      </c>
      <c r="D24" s="7">
        <f>B24*C24</f>
        <v>390.36874800000004</v>
      </c>
    </row>
    <row r="25" spans="1:4" x14ac:dyDescent="0.2">
      <c r="A25" s="3"/>
      <c r="B25" s="20"/>
      <c r="C25" s="7"/>
      <c r="D25" s="7"/>
    </row>
    <row r="26" spans="1:4" x14ac:dyDescent="0.2">
      <c r="A26" s="3"/>
      <c r="B26" s="20"/>
      <c r="C26" s="7"/>
      <c r="D26" s="7"/>
    </row>
    <row r="27" spans="1:4" x14ac:dyDescent="0.2">
      <c r="A27" s="3"/>
      <c r="B27" s="20"/>
      <c r="C27" s="7"/>
      <c r="D27" s="7"/>
    </row>
    <row r="28" spans="1:4" x14ac:dyDescent="0.2">
      <c r="A28" s="3"/>
      <c r="B28" s="20"/>
      <c r="C28" s="7"/>
      <c r="D28" s="7"/>
    </row>
    <row r="29" spans="1:4" x14ac:dyDescent="0.2">
      <c r="A29" s="3"/>
      <c r="B29" s="20"/>
      <c r="C29" s="7"/>
      <c r="D29" s="7"/>
    </row>
    <row r="30" spans="1:4" x14ac:dyDescent="0.2">
      <c r="A30" s="3"/>
      <c r="B30" s="20"/>
      <c r="C30" s="7"/>
      <c r="D30" s="7"/>
    </row>
    <row r="31" spans="1:4" x14ac:dyDescent="0.2">
      <c r="A31" s="3"/>
      <c r="B31" s="20"/>
      <c r="C31" s="7"/>
      <c r="D31" s="7"/>
    </row>
    <row r="32" spans="1:4" x14ac:dyDescent="0.2">
      <c r="A32" s="3"/>
      <c r="B32" s="20"/>
      <c r="C32" s="7"/>
      <c r="D32" s="7"/>
    </row>
    <row r="33" spans="1:4" x14ac:dyDescent="0.2">
      <c r="A33" s="3"/>
      <c r="B33" s="20"/>
      <c r="C33" s="7"/>
      <c r="D33" s="7"/>
    </row>
    <row r="35" spans="1:4" x14ac:dyDescent="0.2">
      <c r="A35" s="32" t="s">
        <v>60</v>
      </c>
      <c r="B35" s="30"/>
      <c r="C35" s="30"/>
      <c r="D35" s="30"/>
    </row>
    <row r="36" spans="1:4" x14ac:dyDescent="0.2">
      <c r="A36" s="1" t="s">
        <v>61</v>
      </c>
      <c r="B36" s="9">
        <f>SUM(D14:D34)</f>
        <v>6322.8117309999989</v>
      </c>
    </row>
    <row r="37" spans="1:4" x14ac:dyDescent="0.2">
      <c r="A37" s="1" t="s">
        <v>62</v>
      </c>
      <c r="B37" s="9">
        <f>IF(B36="","",B36*0.21)</f>
        <v>1327.7904635099997</v>
      </c>
    </row>
    <row r="38" spans="1:4" x14ac:dyDescent="0.2">
      <c r="A38" s="21" t="s">
        <v>63</v>
      </c>
      <c r="B38" s="22">
        <f>IF(B36="","",B36+B37)</f>
        <v>7650.6021945099983</v>
      </c>
    </row>
  </sheetData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9"/>
  <sheetViews>
    <sheetView workbookViewId="0">
      <pane ySplit="2" topLeftCell="A3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37" t="s">
        <v>64</v>
      </c>
      <c r="B1" s="30"/>
    </row>
    <row r="3" spans="1:2" x14ac:dyDescent="0.2">
      <c r="A3" s="36" t="s">
        <v>65</v>
      </c>
      <c r="B3" s="30"/>
    </row>
    <row r="4" spans="1:2" x14ac:dyDescent="0.2">
      <c r="A4" s="1" t="s">
        <v>24</v>
      </c>
      <c r="B4" s="23" t="str">
        <f>[0]!Schoonmaak_pakket</f>
        <v>geen</v>
      </c>
    </row>
    <row r="5" spans="1:2" x14ac:dyDescent="0.2">
      <c r="A5" s="1" t="s">
        <v>25</v>
      </c>
      <c r="B5" s="5" t="str">
        <f>IF(B4="Basis Schoonmaak",5,IF(B4="Intensief Schoonmaak",7,""))</f>
        <v/>
      </c>
    </row>
    <row r="6" spans="1:2" x14ac:dyDescent="0.2">
      <c r="A6" s="1" t="s">
        <v>66</v>
      </c>
      <c r="B6" s="24">
        <v>20</v>
      </c>
    </row>
    <row r="7" spans="1:2" x14ac:dyDescent="0.2">
      <c r="A7" s="1" t="s">
        <v>67</v>
      </c>
      <c r="B7" s="25" t="str">
        <f>IF(AND(B5&lt;&gt;"",B6&lt;&gt;""),MAX(0,B6-B5),"")</f>
        <v/>
      </c>
    </row>
    <row r="8" spans="1:2" x14ac:dyDescent="0.2">
      <c r="A8" s="1" t="s">
        <v>68</v>
      </c>
      <c r="B8" s="26">
        <f>[0]!Uurtarief_schoonmaak</f>
        <v>50</v>
      </c>
    </row>
    <row r="9" spans="1:2" x14ac:dyDescent="0.2">
      <c r="A9" s="21" t="s">
        <v>69</v>
      </c>
      <c r="B9" s="22" t="str">
        <f>IF(AND(B7&lt;&gt;"",B8&lt;&gt;""),B7*B8,"")</f>
        <v/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504D"/>
  </sheetPr>
  <dimension ref="A1:D60"/>
  <sheetViews>
    <sheetView workbookViewId="0">
      <pane ySplit="5" topLeftCell="A103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</cols>
  <sheetData>
    <row r="1" spans="1:4" ht="16" x14ac:dyDescent="0.2">
      <c r="A1" s="38" t="s">
        <v>70</v>
      </c>
      <c r="B1" s="30"/>
      <c r="C1" s="30"/>
      <c r="D1" s="30"/>
    </row>
    <row r="3" spans="1:4" x14ac:dyDescent="0.2">
      <c r="A3" s="39" t="s">
        <v>71</v>
      </c>
      <c r="B3" s="30"/>
      <c r="C3" s="30"/>
      <c r="D3" s="30"/>
    </row>
    <row r="5" spans="1:4" ht="25" customHeight="1" x14ac:dyDescent="0.2">
      <c r="A5" s="27" t="s">
        <v>72</v>
      </c>
      <c r="B5" s="27" t="s">
        <v>73</v>
      </c>
      <c r="C5" s="27" t="s">
        <v>74</v>
      </c>
      <c r="D5" s="27" t="s">
        <v>75</v>
      </c>
    </row>
    <row r="6" spans="1:4" x14ac:dyDescent="0.2">
      <c r="A6" s="3" t="s">
        <v>78</v>
      </c>
      <c r="B6" s="28">
        <v>3</v>
      </c>
      <c r="C6" s="7">
        <v>2000</v>
      </c>
      <c r="D6" s="9">
        <f t="shared" ref="D6:D37" si="0">IF(AND(B6&lt;&gt;"",C6&lt;&gt;""),B6*C6,"")</f>
        <v>6000</v>
      </c>
    </row>
    <row r="7" spans="1:4" x14ac:dyDescent="0.2">
      <c r="A7" s="3" t="s">
        <v>79</v>
      </c>
      <c r="B7" s="28">
        <v>14</v>
      </c>
      <c r="C7" s="7">
        <v>50</v>
      </c>
      <c r="D7" s="9">
        <f t="shared" si="0"/>
        <v>700</v>
      </c>
    </row>
    <row r="8" spans="1:4" x14ac:dyDescent="0.2">
      <c r="A8" s="3"/>
      <c r="B8" s="28"/>
      <c r="C8" s="7"/>
      <c r="D8" s="9" t="str">
        <f t="shared" si="0"/>
        <v/>
      </c>
    </row>
    <row r="9" spans="1:4" x14ac:dyDescent="0.2">
      <c r="A9" s="3"/>
      <c r="B9" s="28"/>
      <c r="C9" s="7"/>
      <c r="D9" s="9" t="str">
        <f t="shared" si="0"/>
        <v/>
      </c>
    </row>
    <row r="10" spans="1:4" x14ac:dyDescent="0.2">
      <c r="A10" s="3"/>
      <c r="B10" s="28"/>
      <c r="C10" s="7"/>
      <c r="D10" s="9" t="str">
        <f t="shared" si="0"/>
        <v/>
      </c>
    </row>
    <row r="11" spans="1:4" x14ac:dyDescent="0.2">
      <c r="A11" s="3"/>
      <c r="B11" s="28"/>
      <c r="C11" s="7"/>
      <c r="D11" s="9" t="str">
        <f t="shared" si="0"/>
        <v/>
      </c>
    </row>
    <row r="12" spans="1:4" x14ac:dyDescent="0.2">
      <c r="A12" s="3"/>
      <c r="B12" s="28"/>
      <c r="C12" s="7"/>
      <c r="D12" s="9" t="str">
        <f t="shared" si="0"/>
        <v/>
      </c>
    </row>
    <row r="13" spans="1:4" x14ac:dyDescent="0.2">
      <c r="A13" s="3"/>
      <c r="B13" s="28"/>
      <c r="C13" s="7"/>
      <c r="D13" s="9" t="str">
        <f t="shared" si="0"/>
        <v/>
      </c>
    </row>
    <row r="14" spans="1:4" x14ac:dyDescent="0.2">
      <c r="A14" s="3"/>
      <c r="B14" s="28"/>
      <c r="C14" s="7"/>
      <c r="D14" s="9" t="str">
        <f t="shared" si="0"/>
        <v/>
      </c>
    </row>
    <row r="15" spans="1:4" x14ac:dyDescent="0.2">
      <c r="A15" s="3"/>
      <c r="B15" s="28"/>
      <c r="C15" s="7"/>
      <c r="D15" s="9" t="str">
        <f t="shared" si="0"/>
        <v/>
      </c>
    </row>
    <row r="16" spans="1:4" x14ac:dyDescent="0.2">
      <c r="A16" s="3"/>
      <c r="B16" s="28"/>
      <c r="C16" s="7"/>
      <c r="D16" s="9" t="str">
        <f t="shared" si="0"/>
        <v/>
      </c>
    </row>
    <row r="17" spans="1:4" x14ac:dyDescent="0.2">
      <c r="A17" s="3"/>
      <c r="B17" s="28"/>
      <c r="C17" s="7"/>
      <c r="D17" s="9" t="str">
        <f t="shared" si="0"/>
        <v/>
      </c>
    </row>
    <row r="18" spans="1:4" x14ac:dyDescent="0.2">
      <c r="A18" s="3"/>
      <c r="B18" s="28"/>
      <c r="C18" s="7"/>
      <c r="D18" s="9" t="str">
        <f t="shared" si="0"/>
        <v/>
      </c>
    </row>
    <row r="19" spans="1:4" x14ac:dyDescent="0.2">
      <c r="A19" s="3"/>
      <c r="B19" s="28"/>
      <c r="C19" s="7"/>
      <c r="D19" s="9" t="str">
        <f t="shared" si="0"/>
        <v/>
      </c>
    </row>
    <row r="20" spans="1:4" x14ac:dyDescent="0.2">
      <c r="A20" s="3"/>
      <c r="B20" s="28"/>
      <c r="C20" s="7"/>
      <c r="D20" s="9" t="str">
        <f t="shared" si="0"/>
        <v/>
      </c>
    </row>
    <row r="21" spans="1:4" x14ac:dyDescent="0.2">
      <c r="A21" s="3"/>
      <c r="B21" s="28"/>
      <c r="C21" s="7"/>
      <c r="D21" s="9" t="str">
        <f t="shared" si="0"/>
        <v/>
      </c>
    </row>
    <row r="22" spans="1:4" x14ac:dyDescent="0.2">
      <c r="A22" s="3"/>
      <c r="B22" s="28"/>
      <c r="C22" s="7"/>
      <c r="D22" s="9" t="str">
        <f t="shared" si="0"/>
        <v/>
      </c>
    </row>
    <row r="23" spans="1:4" x14ac:dyDescent="0.2">
      <c r="A23" s="3"/>
      <c r="B23" s="28"/>
      <c r="C23" s="7"/>
      <c r="D23" s="9" t="str">
        <f t="shared" si="0"/>
        <v/>
      </c>
    </row>
    <row r="24" spans="1:4" x14ac:dyDescent="0.2">
      <c r="A24" s="3"/>
      <c r="B24" s="28"/>
      <c r="C24" s="7"/>
      <c r="D24" s="9" t="str">
        <f t="shared" si="0"/>
        <v/>
      </c>
    </row>
    <row r="25" spans="1:4" x14ac:dyDescent="0.2">
      <c r="A25" s="3"/>
      <c r="B25" s="28"/>
      <c r="C25" s="7"/>
      <c r="D25" s="9" t="str">
        <f t="shared" si="0"/>
        <v/>
      </c>
    </row>
    <row r="26" spans="1:4" x14ac:dyDescent="0.2">
      <c r="A26" s="3"/>
      <c r="B26" s="28"/>
      <c r="C26" s="7"/>
      <c r="D26" s="9" t="str">
        <f t="shared" si="0"/>
        <v/>
      </c>
    </row>
    <row r="27" spans="1:4" x14ac:dyDescent="0.2">
      <c r="A27" s="3"/>
      <c r="B27" s="28"/>
      <c r="C27" s="7"/>
      <c r="D27" s="9" t="str">
        <f t="shared" si="0"/>
        <v/>
      </c>
    </row>
    <row r="28" spans="1:4" x14ac:dyDescent="0.2">
      <c r="A28" s="3"/>
      <c r="B28" s="28"/>
      <c r="C28" s="7"/>
      <c r="D28" s="9" t="str">
        <f t="shared" si="0"/>
        <v/>
      </c>
    </row>
    <row r="29" spans="1:4" x14ac:dyDescent="0.2">
      <c r="A29" s="3"/>
      <c r="B29" s="28"/>
      <c r="C29" s="7"/>
      <c r="D29" s="9" t="str">
        <f t="shared" si="0"/>
        <v/>
      </c>
    </row>
    <row r="30" spans="1:4" x14ac:dyDescent="0.2">
      <c r="A30" s="3"/>
      <c r="B30" s="28"/>
      <c r="C30" s="7"/>
      <c r="D30" s="9" t="str">
        <f t="shared" si="0"/>
        <v/>
      </c>
    </row>
    <row r="31" spans="1:4" x14ac:dyDescent="0.2">
      <c r="A31" s="3"/>
      <c r="B31" s="28"/>
      <c r="C31" s="7"/>
      <c r="D31" s="9" t="str">
        <f t="shared" si="0"/>
        <v/>
      </c>
    </row>
    <row r="32" spans="1:4" x14ac:dyDescent="0.2">
      <c r="A32" s="3"/>
      <c r="B32" s="28"/>
      <c r="C32" s="7"/>
      <c r="D32" s="9" t="str">
        <f t="shared" si="0"/>
        <v/>
      </c>
    </row>
    <row r="33" spans="1:4" x14ac:dyDescent="0.2">
      <c r="A33" s="3"/>
      <c r="B33" s="28"/>
      <c r="C33" s="7"/>
      <c r="D33" s="9" t="str">
        <f t="shared" si="0"/>
        <v/>
      </c>
    </row>
    <row r="34" spans="1:4" x14ac:dyDescent="0.2">
      <c r="A34" s="3"/>
      <c r="B34" s="28"/>
      <c r="C34" s="7"/>
      <c r="D34" s="9" t="str">
        <f t="shared" si="0"/>
        <v/>
      </c>
    </row>
    <row r="35" spans="1:4" x14ac:dyDescent="0.2">
      <c r="A35" s="3"/>
      <c r="B35" s="28"/>
      <c r="C35" s="7"/>
      <c r="D35" s="9" t="str">
        <f t="shared" si="0"/>
        <v/>
      </c>
    </row>
    <row r="36" spans="1:4" x14ac:dyDescent="0.2">
      <c r="A36" s="3"/>
      <c r="B36" s="28"/>
      <c r="C36" s="7"/>
      <c r="D36" s="9" t="str">
        <f t="shared" si="0"/>
        <v/>
      </c>
    </row>
    <row r="37" spans="1:4" x14ac:dyDescent="0.2">
      <c r="A37" s="3"/>
      <c r="B37" s="28"/>
      <c r="C37" s="7"/>
      <c r="D37" s="9" t="str">
        <f t="shared" si="0"/>
        <v/>
      </c>
    </row>
    <row r="38" spans="1:4" x14ac:dyDescent="0.2">
      <c r="A38" s="3"/>
      <c r="B38" s="28"/>
      <c r="C38" s="7"/>
      <c r="D38" s="9" t="str">
        <f t="shared" ref="D38:D55" si="1">IF(AND(B38&lt;&gt;"",C38&lt;&gt;""),B38*C38,"")</f>
        <v/>
      </c>
    </row>
    <row r="39" spans="1:4" x14ac:dyDescent="0.2">
      <c r="A39" s="3"/>
      <c r="B39" s="28"/>
      <c r="C39" s="7"/>
      <c r="D39" s="9" t="str">
        <f t="shared" si="1"/>
        <v/>
      </c>
    </row>
    <row r="40" spans="1:4" x14ac:dyDescent="0.2">
      <c r="A40" s="3"/>
      <c r="B40" s="28"/>
      <c r="C40" s="7"/>
      <c r="D40" s="9" t="str">
        <f t="shared" si="1"/>
        <v/>
      </c>
    </row>
    <row r="41" spans="1:4" x14ac:dyDescent="0.2">
      <c r="A41" s="3"/>
      <c r="B41" s="28"/>
      <c r="C41" s="7"/>
      <c r="D41" s="9" t="str">
        <f t="shared" si="1"/>
        <v/>
      </c>
    </row>
    <row r="42" spans="1:4" x14ac:dyDescent="0.2">
      <c r="A42" s="3"/>
      <c r="B42" s="28"/>
      <c r="C42" s="7"/>
      <c r="D42" s="9" t="str">
        <f t="shared" si="1"/>
        <v/>
      </c>
    </row>
    <row r="43" spans="1:4" x14ac:dyDescent="0.2">
      <c r="A43" s="3"/>
      <c r="B43" s="28"/>
      <c r="C43" s="7"/>
      <c r="D43" s="9" t="str">
        <f t="shared" si="1"/>
        <v/>
      </c>
    </row>
    <row r="44" spans="1:4" x14ac:dyDescent="0.2">
      <c r="A44" s="3"/>
      <c r="B44" s="28"/>
      <c r="C44" s="7"/>
      <c r="D44" s="9" t="str">
        <f t="shared" si="1"/>
        <v/>
      </c>
    </row>
    <row r="45" spans="1:4" x14ac:dyDescent="0.2">
      <c r="A45" s="3"/>
      <c r="B45" s="28"/>
      <c r="C45" s="7"/>
      <c r="D45" s="9" t="str">
        <f t="shared" si="1"/>
        <v/>
      </c>
    </row>
    <row r="46" spans="1:4" x14ac:dyDescent="0.2">
      <c r="A46" s="3"/>
      <c r="B46" s="28"/>
      <c r="C46" s="7"/>
      <c r="D46" s="9" t="str">
        <f t="shared" si="1"/>
        <v/>
      </c>
    </row>
    <row r="47" spans="1:4" x14ac:dyDescent="0.2">
      <c r="A47" s="3"/>
      <c r="B47" s="28"/>
      <c r="C47" s="7"/>
      <c r="D47" s="9" t="str">
        <f t="shared" si="1"/>
        <v/>
      </c>
    </row>
    <row r="48" spans="1:4" x14ac:dyDescent="0.2">
      <c r="A48" s="3"/>
      <c r="B48" s="28"/>
      <c r="C48" s="7"/>
      <c r="D48" s="9" t="str">
        <f t="shared" si="1"/>
        <v/>
      </c>
    </row>
    <row r="49" spans="1:4" x14ac:dyDescent="0.2">
      <c r="A49" s="3"/>
      <c r="B49" s="28"/>
      <c r="C49" s="7"/>
      <c r="D49" s="9" t="str">
        <f t="shared" si="1"/>
        <v/>
      </c>
    </row>
    <row r="50" spans="1:4" x14ac:dyDescent="0.2">
      <c r="A50" s="3"/>
      <c r="B50" s="28"/>
      <c r="C50" s="7"/>
      <c r="D50" s="9" t="str">
        <f t="shared" si="1"/>
        <v/>
      </c>
    </row>
    <row r="51" spans="1:4" x14ac:dyDescent="0.2">
      <c r="A51" s="3"/>
      <c r="B51" s="28"/>
      <c r="C51" s="7"/>
      <c r="D51" s="9" t="str">
        <f t="shared" si="1"/>
        <v/>
      </c>
    </row>
    <row r="52" spans="1:4" x14ac:dyDescent="0.2">
      <c r="A52" s="3"/>
      <c r="B52" s="28"/>
      <c r="C52" s="7"/>
      <c r="D52" s="9" t="str">
        <f t="shared" si="1"/>
        <v/>
      </c>
    </row>
    <row r="53" spans="1:4" x14ac:dyDescent="0.2">
      <c r="A53" s="3"/>
      <c r="B53" s="28"/>
      <c r="C53" s="7"/>
      <c r="D53" s="9" t="str">
        <f t="shared" si="1"/>
        <v/>
      </c>
    </row>
    <row r="54" spans="1:4" x14ac:dyDescent="0.2">
      <c r="A54" s="3"/>
      <c r="B54" s="28"/>
      <c r="C54" s="7"/>
      <c r="D54" s="9" t="str">
        <f t="shared" si="1"/>
        <v/>
      </c>
    </row>
    <row r="55" spans="1:4" x14ac:dyDescent="0.2">
      <c r="A55" s="3"/>
      <c r="B55" s="28"/>
      <c r="C55" s="7"/>
      <c r="D55" s="9" t="str">
        <f t="shared" si="1"/>
        <v/>
      </c>
    </row>
    <row r="57" spans="1:4" x14ac:dyDescent="0.2">
      <c r="A57" s="32" t="s">
        <v>60</v>
      </c>
      <c r="B57" s="30"/>
      <c r="C57" s="30"/>
      <c r="D57" s="30"/>
    </row>
    <row r="58" spans="1:4" x14ac:dyDescent="0.2">
      <c r="A58" s="1" t="s">
        <v>76</v>
      </c>
      <c r="B58" s="9">
        <f>SUM(D6:D56)</f>
        <v>6700</v>
      </c>
    </row>
    <row r="59" spans="1:4" x14ac:dyDescent="0.2">
      <c r="A59" s="1" t="s">
        <v>62</v>
      </c>
      <c r="B59" s="9">
        <f>IF(B58="","",B58*0.21)</f>
        <v>1407</v>
      </c>
    </row>
    <row r="60" spans="1:4" x14ac:dyDescent="0.2">
      <c r="A60" s="21" t="s">
        <v>77</v>
      </c>
      <c r="B60" s="22">
        <f>IF(B58="","",B58+B59)</f>
        <v>8107</v>
      </c>
    </row>
  </sheetData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7C2E0D-3462-479B-BA14-E211DAE452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1CFAE4-14DC-4CE8-80A7-6F4306918947}">
  <ds:schemaRefs>
    <ds:schemaRef ds:uri="http://schemas.microsoft.com/office/infopath/2007/PartnerControls"/>
    <ds:schemaRef ds:uri="http://schemas.microsoft.com/office/2006/metadata/properties"/>
    <ds:schemaRef ds:uri="7e7f2dcd-0c2b-4478-ad05-247cf739c5b2"/>
    <ds:schemaRef ds:uri="http://schemas.microsoft.com/office/2006/documentManagement/types"/>
    <ds:schemaRef ds:uri="http://purl.org/dc/elements/1.1/"/>
    <ds:schemaRef ds:uri="http://purl.org/dc/terms/"/>
    <ds:schemaRef ds:uri="7c6541c9-858d-46cc-aee4-1fa681dc1bd6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570F817-8E54-486A-963A-03EF7C1BB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52</vt:i4>
      </vt:variant>
    </vt:vector>
  </HeadingPairs>
  <TitlesOfParts>
    <vt:vector size="56" baseType="lpstr">
      <vt:lpstr>Algemeen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Extra_uren</vt:lpstr>
      <vt:lpstr>Extra_voorschot_bedrag</vt:lpstr>
      <vt:lpstr>Extra_voorschot_gebruikt</vt:lpstr>
      <vt:lpstr>Extra_voorschot_omschrijving</vt:lpstr>
      <vt:lpstr>Extra_voorschot_restschade</vt:lpstr>
      <vt:lpstr>Extra_voorschot_terug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2025-11-25T21:28:59Z</dcterms:created>
  <dcterms:modified xsi:type="dcterms:W3CDTF">2025-12-01T13:41:53Z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