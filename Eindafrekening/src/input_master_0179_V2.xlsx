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0" documentId="8_{493DEB46-1D8F-9A45-B95E-8FDDD2755C78}" xr6:coauthVersionLast="47" xr6:coauthVersionMax="47" xr10:uidLastSave="{00000000-0000-0000-0000-000000000000}"/>
  <bookViews>
    <workbookView xWindow="-280" yWindow="-21100" windowWidth="34560" windowHeight="2020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A5" i="1"/>
  <c r="B5" i="1" s="1"/>
  <c r="A6" i="1"/>
  <c r="B6" i="1" s="1"/>
  <c r="A7" i="1"/>
  <c r="B7" i="1" s="1"/>
  <c r="A8" i="1"/>
  <c r="B8" i="1" s="1"/>
  <c r="A9" i="1"/>
  <c r="B9" i="1" s="1"/>
  <c r="A10" i="1"/>
  <c r="D10" i="1"/>
  <c r="A11" i="1"/>
  <c r="B11" i="1" s="1"/>
  <c r="A12" i="1"/>
  <c r="B12" i="1" s="1"/>
  <c r="D12" i="1"/>
  <c r="A13" i="1"/>
  <c r="D13" i="1" s="1"/>
  <c r="A14" i="1"/>
  <c r="B14" i="1" s="1"/>
  <c r="A15" i="1"/>
  <c r="B15" i="1" s="1"/>
  <c r="C15" i="1"/>
  <c r="A16" i="1"/>
  <c r="C16" i="1" s="1"/>
  <c r="B16" i="1"/>
  <c r="A17" i="1"/>
  <c r="B17" i="1"/>
  <c r="E17" i="1" s="1"/>
  <c r="C17" i="1"/>
  <c r="D17" i="1"/>
  <c r="A18" i="1"/>
  <c r="C18" i="1" s="1"/>
  <c r="B18" i="1"/>
  <c r="D18" i="1"/>
  <c r="A19" i="1"/>
  <c r="B19" i="1" s="1"/>
  <c r="A20" i="1"/>
  <c r="B20" i="1"/>
  <c r="C20" i="1"/>
  <c r="D20" i="1"/>
  <c r="E20" i="1"/>
  <c r="A21" i="1"/>
  <c r="B21" i="1" s="1"/>
  <c r="C21" i="1"/>
  <c r="E21" i="1"/>
  <c r="A22" i="1"/>
  <c r="B22" i="1" s="1"/>
  <c r="C22" i="1"/>
  <c r="E22" i="1"/>
  <c r="A23" i="1"/>
  <c r="D23" i="1" s="1"/>
  <c r="B23" i="1"/>
  <c r="C23" i="1"/>
  <c r="E23" i="1"/>
  <c r="A24" i="1"/>
  <c r="E24" i="1" s="1"/>
  <c r="B24" i="1"/>
  <c r="C24" i="1"/>
  <c r="D24" i="1"/>
  <c r="A25" i="1"/>
  <c r="C25" i="1" s="1"/>
  <c r="B25" i="1"/>
  <c r="D25" i="1"/>
  <c r="E25" i="1"/>
  <c r="A26" i="1"/>
  <c r="C26" i="1" s="1"/>
  <c r="B26" i="1"/>
  <c r="D26" i="1"/>
  <c r="A27" i="1"/>
  <c r="D27" i="1" s="1"/>
  <c r="C27" i="1"/>
  <c r="A28" i="1"/>
  <c r="B28" i="1" s="1"/>
  <c r="D28" i="1"/>
  <c r="E28" i="1"/>
  <c r="A29" i="1"/>
  <c r="B29" i="1" s="1"/>
  <c r="C29" i="1"/>
  <c r="E29" i="1"/>
  <c r="A30" i="1"/>
  <c r="C30" i="1" s="1"/>
  <c r="B30" i="1"/>
  <c r="A31" i="1"/>
  <c r="B31" i="1"/>
  <c r="C31" i="1"/>
  <c r="D31" i="1"/>
  <c r="E31" i="1"/>
  <c r="A32" i="1"/>
  <c r="C32" i="1" s="1"/>
  <c r="B32" i="1"/>
  <c r="D32" i="1"/>
  <c r="E32" i="1"/>
  <c r="A33" i="1"/>
  <c r="B33" i="1" s="1"/>
  <c r="A34" i="1"/>
  <c r="B34" i="1"/>
  <c r="C34" i="1"/>
  <c r="D34" i="1"/>
  <c r="E34" i="1"/>
  <c r="A35" i="1"/>
  <c r="B35" i="1" s="1"/>
  <c r="C35" i="1"/>
  <c r="E35" i="1"/>
  <c r="A36" i="1"/>
  <c r="B36" i="1" s="1"/>
  <c r="C36" i="1"/>
  <c r="E36" i="1"/>
  <c r="A37" i="1"/>
  <c r="D37" i="1" s="1"/>
  <c r="B37" i="1"/>
  <c r="C37" i="1"/>
  <c r="E37" i="1"/>
  <c r="A38" i="1"/>
  <c r="E38" i="1" s="1"/>
  <c r="B38" i="1"/>
  <c r="C38" i="1"/>
  <c r="D38" i="1"/>
  <c r="A39" i="1"/>
  <c r="C39" i="1" s="1"/>
  <c r="B39" i="1"/>
  <c r="D39" i="1"/>
  <c r="E39" i="1"/>
  <c r="A40" i="1"/>
  <c r="C40" i="1" s="1"/>
  <c r="B40" i="1"/>
  <c r="D40" i="1"/>
  <c r="A41" i="1"/>
  <c r="D41" i="1" s="1"/>
  <c r="C41" i="1"/>
  <c r="A42" i="1"/>
  <c r="D42" i="1" s="1"/>
  <c r="A43" i="1"/>
  <c r="B43" i="1" s="1"/>
  <c r="C43" i="1"/>
  <c r="E43" i="1"/>
  <c r="A44" i="1"/>
  <c r="C44" i="1" s="1"/>
  <c r="B44" i="1"/>
  <c r="A45" i="1"/>
  <c r="B45" i="1"/>
  <c r="C45" i="1"/>
  <c r="D45" i="1"/>
  <c r="E45" i="1"/>
  <c r="A46" i="1"/>
  <c r="C46" i="1" s="1"/>
  <c r="B46" i="1"/>
  <c r="D46" i="1"/>
  <c r="E46" i="1"/>
  <c r="A47" i="1"/>
  <c r="B47" i="1" s="1"/>
  <c r="A48" i="1"/>
  <c r="B48" i="1"/>
  <c r="C48" i="1"/>
  <c r="D48" i="1"/>
  <c r="E48" i="1"/>
  <c r="A49" i="1"/>
  <c r="B49" i="1" s="1"/>
  <c r="C49" i="1"/>
  <c r="E49" i="1"/>
  <c r="A50" i="1"/>
  <c r="B50" i="1" s="1"/>
  <c r="C50" i="1"/>
  <c r="E50" i="1"/>
  <c r="A51" i="1"/>
  <c r="D51" i="1" s="1"/>
  <c r="B51" i="1"/>
  <c r="C51" i="1"/>
  <c r="E51" i="1"/>
  <c r="A52" i="1"/>
  <c r="E52" i="1" s="1"/>
  <c r="B52" i="1"/>
  <c r="C52" i="1"/>
  <c r="D52" i="1"/>
  <c r="A53" i="1"/>
  <c r="C53" i="1" s="1"/>
  <c r="B53" i="1"/>
  <c r="D53" i="1"/>
  <c r="E53" i="1"/>
  <c r="A54" i="1"/>
  <c r="C54" i="1" s="1"/>
  <c r="B54" i="1"/>
  <c r="D54" i="1"/>
  <c r="A55" i="1"/>
  <c r="D55" i="1" s="1"/>
  <c r="C55" i="1"/>
  <c r="A56" i="1"/>
  <c r="B56" i="1" s="1"/>
  <c r="D56" i="1"/>
  <c r="E56" i="1"/>
  <c r="A57" i="1"/>
  <c r="B57" i="1" s="1"/>
  <c r="C57" i="1"/>
  <c r="E57" i="1"/>
  <c r="A58" i="1"/>
  <c r="C58" i="1" s="1"/>
  <c r="B58" i="1"/>
  <c r="A59" i="1"/>
  <c r="B59" i="1"/>
  <c r="C59" i="1"/>
  <c r="D59" i="1"/>
  <c r="E59" i="1"/>
  <c r="A60" i="1"/>
  <c r="C60" i="1" s="1"/>
  <c r="B60" i="1"/>
  <c r="D60" i="1"/>
  <c r="E60" i="1"/>
  <c r="A61" i="1"/>
  <c r="B61" i="1" s="1"/>
  <c r="A62" i="1"/>
  <c r="B62" i="1"/>
  <c r="C62" i="1"/>
  <c r="D62" i="1"/>
  <c r="E62" i="1"/>
  <c r="A63" i="1"/>
  <c r="B63" i="1" s="1"/>
  <c r="C63" i="1"/>
  <c r="E63" i="1"/>
  <c r="A64" i="1"/>
  <c r="B64" i="1" s="1"/>
  <c r="C64" i="1"/>
  <c r="E64" i="1"/>
  <c r="A65" i="1"/>
  <c r="B65" i="1" s="1"/>
  <c r="E65" i="1"/>
  <c r="A66" i="1"/>
  <c r="E66" i="1" s="1"/>
  <c r="B66" i="1"/>
  <c r="C66" i="1"/>
  <c r="D66" i="1"/>
  <c r="A67" i="1"/>
  <c r="C67" i="1" s="1"/>
  <c r="B67" i="1"/>
  <c r="D67" i="1"/>
  <c r="E67" i="1"/>
  <c r="A68" i="1"/>
  <c r="C68" i="1" s="1"/>
  <c r="B68" i="1"/>
  <c r="D68" i="1"/>
  <c r="A69" i="1"/>
  <c r="D69" i="1" s="1"/>
  <c r="C69" i="1"/>
  <c r="A70" i="1"/>
  <c r="B70" i="1" s="1"/>
  <c r="D70" i="1"/>
  <c r="E70" i="1"/>
  <c r="A71" i="1"/>
  <c r="B71" i="1" s="1"/>
  <c r="C71" i="1"/>
  <c r="E71" i="1"/>
  <c r="A72" i="1"/>
  <c r="C72" i="1" s="1"/>
  <c r="B72" i="1"/>
  <c r="A73" i="1"/>
  <c r="B73" i="1"/>
  <c r="C73" i="1"/>
  <c r="D73" i="1"/>
  <c r="E73" i="1"/>
  <c r="A74" i="1"/>
  <c r="C74" i="1" s="1"/>
  <c r="B74" i="1"/>
  <c r="D74" i="1"/>
  <c r="E74" i="1"/>
  <c r="A75" i="1"/>
  <c r="B75" i="1" s="1"/>
  <c r="A76" i="1"/>
  <c r="B76" i="1"/>
  <c r="C76" i="1"/>
  <c r="D76" i="1"/>
  <c r="E76" i="1"/>
  <c r="A77" i="1"/>
  <c r="B77" i="1" s="1"/>
  <c r="C77" i="1"/>
  <c r="D77" i="1"/>
  <c r="E77" i="1"/>
  <c r="A78" i="1"/>
  <c r="B78" i="1" s="1"/>
  <c r="C78" i="1"/>
  <c r="E78" i="1"/>
  <c r="A79" i="1"/>
  <c r="D79" i="1" s="1"/>
  <c r="B79" i="1"/>
  <c r="C79" i="1"/>
  <c r="E79" i="1"/>
  <c r="A80" i="1"/>
  <c r="E80" i="1" s="1"/>
  <c r="B80" i="1"/>
  <c r="C80" i="1"/>
  <c r="D80" i="1"/>
  <c r="A81" i="1"/>
  <c r="C81" i="1" s="1"/>
  <c r="B81" i="1"/>
  <c r="D81" i="1"/>
  <c r="E81" i="1"/>
  <c r="A82" i="1"/>
  <c r="D82" i="1" s="1"/>
  <c r="A83" i="1"/>
  <c r="D83" i="1" s="1"/>
  <c r="C83" i="1"/>
  <c r="A84" i="1"/>
  <c r="B84" i="1" s="1"/>
  <c r="D84" i="1"/>
  <c r="E84" i="1"/>
  <c r="A85" i="1"/>
  <c r="B85" i="1" s="1"/>
  <c r="C85" i="1"/>
  <c r="E85" i="1"/>
  <c r="A86" i="1"/>
  <c r="C86" i="1" s="1"/>
  <c r="B86" i="1"/>
  <c r="A87" i="1"/>
  <c r="B87" i="1"/>
  <c r="C87" i="1"/>
  <c r="D87" i="1"/>
  <c r="E87" i="1"/>
  <c r="A88" i="1"/>
  <c r="C88" i="1" s="1"/>
  <c r="B88" i="1"/>
  <c r="D88" i="1"/>
  <c r="E88" i="1"/>
  <c r="A89" i="1"/>
  <c r="B89" i="1" s="1"/>
  <c r="A90" i="1"/>
  <c r="E90" i="1" s="1"/>
  <c r="B90" i="1"/>
  <c r="C90" i="1"/>
  <c r="D90" i="1"/>
  <c r="A91" i="1"/>
  <c r="B91" i="1" s="1"/>
  <c r="C91" i="1"/>
  <c r="D91" i="1"/>
  <c r="E91" i="1"/>
  <c r="A92" i="1"/>
  <c r="B92" i="1" s="1"/>
  <c r="C92" i="1"/>
  <c r="E92" i="1"/>
  <c r="A93" i="1"/>
  <c r="D93" i="1" s="1"/>
  <c r="B93" i="1"/>
  <c r="C93" i="1"/>
  <c r="E93" i="1"/>
  <c r="A94" i="1"/>
  <c r="E94" i="1" s="1"/>
  <c r="B94" i="1"/>
  <c r="C94" i="1"/>
  <c r="D94" i="1"/>
  <c r="A95" i="1"/>
  <c r="C95" i="1" s="1"/>
  <c r="B95" i="1"/>
  <c r="D95" i="1"/>
  <c r="E95" i="1"/>
  <c r="A96" i="1"/>
  <c r="C96" i="1" s="1"/>
  <c r="B96" i="1"/>
  <c r="D96" i="1"/>
  <c r="AJ3" i="2"/>
  <c r="AL3" i="2" s="1"/>
  <c r="AJ5" i="2"/>
  <c r="AL5" i="2" s="1"/>
  <c r="AJ6" i="2"/>
  <c r="AL6" i="2" s="1"/>
  <c r="AJ7" i="2"/>
  <c r="AL7" i="2" s="1"/>
  <c r="AL8" i="2"/>
  <c r="AL9" i="2"/>
  <c r="AJ11" i="2"/>
  <c r="AL11" i="2" s="1"/>
  <c r="AL12" i="2"/>
  <c r="AL13" i="2"/>
  <c r="AH11" i="2"/>
  <c r="AH7" i="2"/>
  <c r="AH6" i="2"/>
  <c r="AH5" i="2"/>
  <c r="AH3" i="2"/>
  <c r="P15" i="2"/>
  <c r="AJ201" i="2"/>
  <c r="AL201" i="2" s="1"/>
  <c r="AC201" i="2"/>
  <c r="AE201" i="2" s="1"/>
  <c r="AF201" i="2" s="1"/>
  <c r="P201" i="2"/>
  <c r="L201" i="2"/>
  <c r="M201" i="2" s="1"/>
  <c r="J201" i="2"/>
  <c r="E201" i="2"/>
  <c r="D201" i="2"/>
  <c r="AJ200" i="2"/>
  <c r="AL200" i="2" s="1"/>
  <c r="AN200" i="2" s="1"/>
  <c r="AE200" i="2"/>
  <c r="AF200" i="2" s="1"/>
  <c r="AC200" i="2"/>
  <c r="P200" i="2"/>
  <c r="L200" i="2"/>
  <c r="M200" i="2" s="1"/>
  <c r="J200" i="2"/>
  <c r="E200" i="2"/>
  <c r="D200" i="2"/>
  <c r="AJ199" i="2"/>
  <c r="AL199" i="2" s="1"/>
  <c r="AN199" i="2" s="1"/>
  <c r="AO199" i="2" s="1"/>
  <c r="AE199" i="2"/>
  <c r="AC199" i="2"/>
  <c r="P199" i="2"/>
  <c r="M199" i="2"/>
  <c r="L199" i="2"/>
  <c r="J199" i="2"/>
  <c r="E199" i="2"/>
  <c r="D199" i="2"/>
  <c r="AJ198" i="2"/>
  <c r="AL198" i="2" s="1"/>
  <c r="AC198" i="2"/>
  <c r="P198" i="2"/>
  <c r="L198" i="2"/>
  <c r="M198" i="2" s="1"/>
  <c r="J198" i="2"/>
  <c r="E198" i="2"/>
  <c r="D198" i="2"/>
  <c r="AJ197" i="2"/>
  <c r="AL197" i="2" s="1"/>
  <c r="AC197" i="2"/>
  <c r="P197" i="2"/>
  <c r="M197" i="2"/>
  <c r="L197" i="2"/>
  <c r="J197" i="2"/>
  <c r="E197" i="2"/>
  <c r="D197" i="2"/>
  <c r="AJ196" i="2"/>
  <c r="AL196" i="2" s="1"/>
  <c r="AF196" i="2"/>
  <c r="AC196" i="2"/>
  <c r="AE196" i="2" s="1"/>
  <c r="P196" i="2"/>
  <c r="M196" i="2"/>
  <c r="L196" i="2"/>
  <c r="J196" i="2"/>
  <c r="E196" i="2"/>
  <c r="D196" i="2"/>
  <c r="AJ195" i="2"/>
  <c r="AL195" i="2" s="1"/>
  <c r="AE195" i="2"/>
  <c r="AF195" i="2" s="1"/>
  <c r="AC195" i="2"/>
  <c r="P195" i="2"/>
  <c r="L195" i="2"/>
  <c r="M195" i="2" s="1"/>
  <c r="J195" i="2"/>
  <c r="E195" i="2"/>
  <c r="D195" i="2"/>
  <c r="AJ194" i="2"/>
  <c r="AL194" i="2" s="1"/>
  <c r="AN194" i="2" s="1"/>
  <c r="AC194" i="2"/>
  <c r="P194" i="2"/>
  <c r="L194" i="2"/>
  <c r="M194" i="2" s="1"/>
  <c r="J194" i="2"/>
  <c r="E194" i="2"/>
  <c r="D194" i="2"/>
  <c r="AJ193" i="2"/>
  <c r="AL193" i="2" s="1"/>
  <c r="AC193" i="2"/>
  <c r="P193" i="2"/>
  <c r="L193" i="2"/>
  <c r="M193" i="2" s="1"/>
  <c r="J193" i="2"/>
  <c r="E193" i="2"/>
  <c r="D193" i="2"/>
  <c r="AJ192" i="2"/>
  <c r="AL192" i="2" s="1"/>
  <c r="AN192" i="2" s="1"/>
  <c r="AF192" i="2"/>
  <c r="AE192" i="2"/>
  <c r="AC192" i="2"/>
  <c r="P192" i="2"/>
  <c r="M192" i="2"/>
  <c r="L192" i="2"/>
  <c r="J192" i="2"/>
  <c r="E192" i="2"/>
  <c r="D192" i="2"/>
  <c r="AJ191" i="2"/>
  <c r="AL191" i="2" s="1"/>
  <c r="AN191" i="2" s="1"/>
  <c r="AC191" i="2"/>
  <c r="AE191" i="2" s="1"/>
  <c r="AF191" i="2" s="1"/>
  <c r="P191" i="2"/>
  <c r="M191" i="2"/>
  <c r="L191" i="2"/>
  <c r="J191" i="2"/>
  <c r="E191" i="2"/>
  <c r="D191" i="2"/>
  <c r="AJ190" i="2"/>
  <c r="AL190" i="2" s="1"/>
  <c r="AC190" i="2"/>
  <c r="P190" i="2"/>
  <c r="L190" i="2"/>
  <c r="M190" i="2" s="1"/>
  <c r="J190" i="2"/>
  <c r="E190" i="2"/>
  <c r="D190" i="2"/>
  <c r="AJ189" i="2"/>
  <c r="AL189" i="2" s="1"/>
  <c r="AC189" i="2"/>
  <c r="AE189" i="2" s="1"/>
  <c r="P189" i="2"/>
  <c r="L189" i="2"/>
  <c r="M189" i="2" s="1"/>
  <c r="J189" i="2"/>
  <c r="E189" i="2"/>
  <c r="D189" i="2"/>
  <c r="AJ188" i="2"/>
  <c r="AL188" i="2" s="1"/>
  <c r="AE188" i="2"/>
  <c r="AF188" i="2" s="1"/>
  <c r="AC188" i="2"/>
  <c r="P188" i="2"/>
  <c r="M188" i="2"/>
  <c r="L188" i="2"/>
  <c r="J188" i="2"/>
  <c r="E188" i="2"/>
  <c r="D188" i="2"/>
  <c r="AJ187" i="2"/>
  <c r="AL187" i="2" s="1"/>
  <c r="AC187" i="2"/>
  <c r="AE187" i="2" s="1"/>
  <c r="P187" i="2"/>
  <c r="M187" i="2"/>
  <c r="L187" i="2"/>
  <c r="J187" i="2"/>
  <c r="E187" i="2"/>
  <c r="D187" i="2"/>
  <c r="AJ186" i="2"/>
  <c r="AL186" i="2" s="1"/>
  <c r="AN186" i="2" s="1"/>
  <c r="AE186" i="2"/>
  <c r="AF186" i="2" s="1"/>
  <c r="AC186" i="2"/>
  <c r="P186" i="2"/>
  <c r="L186" i="2"/>
  <c r="M186" i="2" s="1"/>
  <c r="J186" i="2"/>
  <c r="E186" i="2"/>
  <c r="D186" i="2"/>
  <c r="AJ185" i="2"/>
  <c r="AL185" i="2" s="1"/>
  <c r="AC185" i="2"/>
  <c r="AE185" i="2" s="1"/>
  <c r="P185" i="2"/>
  <c r="M185" i="2"/>
  <c r="L185" i="2"/>
  <c r="J185" i="2"/>
  <c r="E185" i="2"/>
  <c r="D185" i="2"/>
  <c r="AJ184" i="2"/>
  <c r="AL184" i="2" s="1"/>
  <c r="AC184" i="2"/>
  <c r="P184" i="2"/>
  <c r="L184" i="2"/>
  <c r="M184" i="2" s="1"/>
  <c r="J184" i="2"/>
  <c r="E184" i="2"/>
  <c r="D184" i="2"/>
  <c r="AJ183" i="2"/>
  <c r="AL183" i="2" s="1"/>
  <c r="AC183" i="2"/>
  <c r="P183" i="2"/>
  <c r="M183" i="2"/>
  <c r="L183" i="2"/>
  <c r="J183" i="2"/>
  <c r="E183" i="2"/>
  <c r="D183" i="2"/>
  <c r="AJ182" i="2"/>
  <c r="AL182" i="2" s="1"/>
  <c r="AF182" i="2"/>
  <c r="AC182" i="2"/>
  <c r="AE182" i="2" s="1"/>
  <c r="P182" i="2"/>
  <c r="M182" i="2"/>
  <c r="L182" i="2"/>
  <c r="J182" i="2"/>
  <c r="E182" i="2"/>
  <c r="D182" i="2"/>
  <c r="AJ181" i="2"/>
  <c r="AL181" i="2" s="1"/>
  <c r="AE181" i="2"/>
  <c r="AF181" i="2" s="1"/>
  <c r="AC181" i="2"/>
  <c r="P181" i="2"/>
  <c r="L181" i="2"/>
  <c r="M181" i="2" s="1"/>
  <c r="J181" i="2"/>
  <c r="E181" i="2"/>
  <c r="D181" i="2"/>
  <c r="AJ180" i="2"/>
  <c r="AL180" i="2" s="1"/>
  <c r="AC180" i="2"/>
  <c r="AE180" i="2" s="1"/>
  <c r="AF180" i="2" s="1"/>
  <c r="P180" i="2"/>
  <c r="L180" i="2"/>
  <c r="M180" i="2" s="1"/>
  <c r="J180" i="2"/>
  <c r="E180" i="2"/>
  <c r="D180" i="2"/>
  <c r="AJ179" i="2"/>
  <c r="AL179" i="2" s="1"/>
  <c r="AN179" i="2" s="1"/>
  <c r="AC179" i="2"/>
  <c r="P179" i="2"/>
  <c r="L179" i="2"/>
  <c r="M179" i="2" s="1"/>
  <c r="J179" i="2"/>
  <c r="E179" i="2"/>
  <c r="D179" i="2"/>
  <c r="AJ178" i="2"/>
  <c r="AL178" i="2" s="1"/>
  <c r="AE178" i="2"/>
  <c r="AF178" i="2" s="1"/>
  <c r="AC178" i="2"/>
  <c r="P178" i="2"/>
  <c r="M178" i="2"/>
  <c r="L178" i="2"/>
  <c r="J178" i="2"/>
  <c r="E178" i="2"/>
  <c r="D178" i="2"/>
  <c r="AJ177" i="2"/>
  <c r="AL177" i="2" s="1"/>
  <c r="AN177" i="2" s="1"/>
  <c r="AO177" i="2" s="1"/>
  <c r="AC177" i="2"/>
  <c r="AE177" i="2" s="1"/>
  <c r="P177" i="2"/>
  <c r="L177" i="2"/>
  <c r="M177" i="2" s="1"/>
  <c r="J177" i="2"/>
  <c r="E177" i="2"/>
  <c r="D177" i="2"/>
  <c r="AJ176" i="2"/>
  <c r="AL176" i="2" s="1"/>
  <c r="AC176" i="2"/>
  <c r="P176" i="2"/>
  <c r="M176" i="2"/>
  <c r="L176" i="2"/>
  <c r="J176" i="2"/>
  <c r="E176" i="2"/>
  <c r="D176" i="2"/>
  <c r="AJ175" i="2"/>
  <c r="AL175" i="2" s="1"/>
  <c r="AC175" i="2"/>
  <c r="AE175" i="2" s="1"/>
  <c r="P175" i="2"/>
  <c r="L175" i="2"/>
  <c r="M175" i="2" s="1"/>
  <c r="J175" i="2"/>
  <c r="E175" i="2"/>
  <c r="D175" i="2"/>
  <c r="AJ174" i="2"/>
  <c r="AL174" i="2" s="1"/>
  <c r="AE174" i="2"/>
  <c r="AF174" i="2" s="1"/>
  <c r="AC174" i="2"/>
  <c r="P174" i="2"/>
  <c r="L174" i="2"/>
  <c r="M174" i="2" s="1"/>
  <c r="J174" i="2"/>
  <c r="E174" i="2"/>
  <c r="D174" i="2"/>
  <c r="AJ173" i="2"/>
  <c r="AL173" i="2" s="1"/>
  <c r="AF173" i="2"/>
  <c r="AE173" i="2"/>
  <c r="AC173" i="2"/>
  <c r="P173" i="2"/>
  <c r="L173" i="2"/>
  <c r="M173" i="2" s="1"/>
  <c r="J173" i="2"/>
  <c r="E173" i="2"/>
  <c r="D173" i="2"/>
  <c r="AJ172" i="2"/>
  <c r="AL172" i="2" s="1"/>
  <c r="AE172" i="2"/>
  <c r="AC172" i="2"/>
  <c r="AF172" i="2" s="1"/>
  <c r="P172" i="2"/>
  <c r="L172" i="2"/>
  <c r="M172" i="2" s="1"/>
  <c r="J172" i="2"/>
  <c r="E172" i="2"/>
  <c r="D172" i="2"/>
  <c r="AJ171" i="2"/>
  <c r="AL171" i="2" s="1"/>
  <c r="AC171" i="2"/>
  <c r="P171" i="2"/>
  <c r="M171" i="2"/>
  <c r="L171" i="2"/>
  <c r="J171" i="2"/>
  <c r="E171" i="2"/>
  <c r="D171" i="2"/>
  <c r="AJ170" i="2"/>
  <c r="AL170" i="2" s="1"/>
  <c r="AC170" i="2"/>
  <c r="P170" i="2"/>
  <c r="L170" i="2"/>
  <c r="M170" i="2" s="1"/>
  <c r="J170" i="2"/>
  <c r="E170" i="2"/>
  <c r="D170" i="2"/>
  <c r="AJ169" i="2"/>
  <c r="AL169" i="2" s="1"/>
  <c r="AN169" i="2" s="1"/>
  <c r="AO169" i="2" s="1"/>
  <c r="AC169" i="2"/>
  <c r="P169" i="2"/>
  <c r="M169" i="2"/>
  <c r="L169" i="2"/>
  <c r="J169" i="2"/>
  <c r="E169" i="2"/>
  <c r="D169" i="2"/>
  <c r="AJ168" i="2"/>
  <c r="AL168" i="2" s="1"/>
  <c r="AF168" i="2"/>
  <c r="AC168" i="2"/>
  <c r="AE168" i="2" s="1"/>
  <c r="P168" i="2"/>
  <c r="L168" i="2"/>
  <c r="M168" i="2" s="1"/>
  <c r="J168" i="2"/>
  <c r="E168" i="2"/>
  <c r="D168" i="2"/>
  <c r="AJ167" i="2"/>
  <c r="AL167" i="2" s="1"/>
  <c r="AE167" i="2"/>
  <c r="AF167" i="2" s="1"/>
  <c r="AC167" i="2"/>
  <c r="P167" i="2"/>
  <c r="L167" i="2"/>
  <c r="M167" i="2" s="1"/>
  <c r="J167" i="2"/>
  <c r="E167" i="2"/>
  <c r="D167" i="2"/>
  <c r="AJ166" i="2"/>
  <c r="AL166" i="2" s="1"/>
  <c r="AC166" i="2"/>
  <c r="P166" i="2"/>
  <c r="L166" i="2"/>
  <c r="M166" i="2" s="1"/>
  <c r="J166" i="2"/>
  <c r="E166" i="2"/>
  <c r="D166" i="2"/>
  <c r="AJ165" i="2"/>
  <c r="AL165" i="2" s="1"/>
  <c r="AC165" i="2"/>
  <c r="P165" i="2"/>
  <c r="L165" i="2"/>
  <c r="M165" i="2" s="1"/>
  <c r="J165" i="2"/>
  <c r="E165" i="2"/>
  <c r="D165" i="2"/>
  <c r="AJ164" i="2"/>
  <c r="AL164" i="2" s="1"/>
  <c r="AN164" i="2" s="1"/>
  <c r="AO164" i="2" s="1"/>
  <c r="AC164" i="2"/>
  <c r="P164" i="2"/>
  <c r="M164" i="2"/>
  <c r="L164" i="2"/>
  <c r="J164" i="2"/>
  <c r="E164" i="2"/>
  <c r="D164" i="2"/>
  <c r="AJ163" i="2"/>
  <c r="AL163" i="2" s="1"/>
  <c r="AC163" i="2"/>
  <c r="P163" i="2"/>
  <c r="L163" i="2"/>
  <c r="M163" i="2" s="1"/>
  <c r="J163" i="2"/>
  <c r="E163" i="2"/>
  <c r="D163" i="2"/>
  <c r="AJ162" i="2"/>
  <c r="AL162" i="2" s="1"/>
  <c r="AN162" i="2" s="1"/>
  <c r="AE162" i="2"/>
  <c r="AC162" i="2"/>
  <c r="P162" i="2"/>
  <c r="L162" i="2"/>
  <c r="M162" i="2" s="1"/>
  <c r="J162" i="2"/>
  <c r="E162" i="2"/>
  <c r="D162" i="2"/>
  <c r="AJ161" i="2"/>
  <c r="AL161" i="2" s="1"/>
  <c r="AC161" i="2"/>
  <c r="P161" i="2"/>
  <c r="M161" i="2"/>
  <c r="L161" i="2"/>
  <c r="J161" i="2"/>
  <c r="E161" i="2"/>
  <c r="D161" i="2"/>
  <c r="AJ160" i="2"/>
  <c r="AL160" i="2" s="1"/>
  <c r="AE160" i="2"/>
  <c r="AF160" i="2" s="1"/>
  <c r="AC160" i="2"/>
  <c r="P160" i="2"/>
  <c r="L160" i="2"/>
  <c r="M160" i="2" s="1"/>
  <c r="J160" i="2"/>
  <c r="E160" i="2"/>
  <c r="D160" i="2"/>
  <c r="AJ159" i="2"/>
  <c r="AL159" i="2" s="1"/>
  <c r="AE159" i="2"/>
  <c r="AC159" i="2"/>
  <c r="AF159" i="2" s="1"/>
  <c r="P159" i="2"/>
  <c r="L159" i="2"/>
  <c r="M159" i="2" s="1"/>
  <c r="J159" i="2"/>
  <c r="E159" i="2"/>
  <c r="D159" i="2"/>
  <c r="AJ158" i="2"/>
  <c r="AL158" i="2" s="1"/>
  <c r="AN158" i="2" s="1"/>
  <c r="AC158" i="2"/>
  <c r="P158" i="2"/>
  <c r="L158" i="2"/>
  <c r="M158" i="2" s="1"/>
  <c r="J158" i="2"/>
  <c r="E158" i="2"/>
  <c r="D158" i="2"/>
  <c r="AJ157" i="2"/>
  <c r="AL157" i="2" s="1"/>
  <c r="AC157" i="2"/>
  <c r="AE157" i="2" s="1"/>
  <c r="P157" i="2"/>
  <c r="M157" i="2"/>
  <c r="L157" i="2"/>
  <c r="J157" i="2"/>
  <c r="E157" i="2"/>
  <c r="D157" i="2"/>
  <c r="AJ156" i="2"/>
  <c r="AL156" i="2" s="1"/>
  <c r="AC156" i="2"/>
  <c r="P156" i="2"/>
  <c r="L156" i="2"/>
  <c r="M156" i="2" s="1"/>
  <c r="J156" i="2"/>
  <c r="E156" i="2"/>
  <c r="D156" i="2"/>
  <c r="AJ155" i="2"/>
  <c r="AL155" i="2" s="1"/>
  <c r="AC155" i="2"/>
  <c r="P155" i="2"/>
  <c r="M155" i="2"/>
  <c r="L155" i="2"/>
  <c r="J155" i="2"/>
  <c r="E155" i="2"/>
  <c r="D155" i="2"/>
  <c r="AJ154" i="2"/>
  <c r="AL154" i="2" s="1"/>
  <c r="AN154" i="2" s="1"/>
  <c r="AC154" i="2"/>
  <c r="AE154" i="2" s="1"/>
  <c r="AF154" i="2" s="1"/>
  <c r="P154" i="2"/>
  <c r="L154" i="2"/>
  <c r="M154" i="2" s="1"/>
  <c r="J154" i="2"/>
  <c r="E154" i="2"/>
  <c r="D154" i="2"/>
  <c r="AJ153" i="2"/>
  <c r="AL153" i="2" s="1"/>
  <c r="AE153" i="2"/>
  <c r="AF153" i="2" s="1"/>
  <c r="AC153" i="2"/>
  <c r="P153" i="2"/>
  <c r="L153" i="2"/>
  <c r="M153" i="2" s="1"/>
  <c r="J153" i="2"/>
  <c r="E153" i="2"/>
  <c r="D153" i="2"/>
  <c r="AJ152" i="2"/>
  <c r="AL152" i="2" s="1"/>
  <c r="AE152" i="2"/>
  <c r="AF152" i="2" s="1"/>
  <c r="AC152" i="2"/>
  <c r="P152" i="2"/>
  <c r="L152" i="2"/>
  <c r="M152" i="2" s="1"/>
  <c r="J152" i="2"/>
  <c r="E152" i="2"/>
  <c r="D152" i="2"/>
  <c r="AJ151" i="2"/>
  <c r="AL151" i="2" s="1"/>
  <c r="AC151" i="2"/>
  <c r="P151" i="2"/>
  <c r="L151" i="2"/>
  <c r="M151" i="2" s="1"/>
  <c r="J151" i="2"/>
  <c r="E151" i="2"/>
  <c r="D151" i="2"/>
  <c r="AJ150" i="2"/>
  <c r="AL150" i="2" s="1"/>
  <c r="AN150" i="2" s="1"/>
  <c r="AC150" i="2"/>
  <c r="P150" i="2"/>
  <c r="M150" i="2"/>
  <c r="L150" i="2"/>
  <c r="J150" i="2"/>
  <c r="E150" i="2"/>
  <c r="D150" i="2"/>
  <c r="AJ149" i="2"/>
  <c r="AL149" i="2" s="1"/>
  <c r="AC149" i="2"/>
  <c r="P149" i="2"/>
  <c r="M149" i="2"/>
  <c r="L149" i="2"/>
  <c r="J149" i="2"/>
  <c r="E149" i="2"/>
  <c r="D149" i="2"/>
  <c r="AJ148" i="2"/>
  <c r="AL148" i="2" s="1"/>
  <c r="AE148" i="2"/>
  <c r="AC148" i="2"/>
  <c r="P148" i="2"/>
  <c r="M148" i="2"/>
  <c r="L148" i="2"/>
  <c r="J148" i="2"/>
  <c r="E148" i="2"/>
  <c r="D148" i="2"/>
  <c r="AJ147" i="2"/>
  <c r="AL147" i="2" s="1"/>
  <c r="AN147" i="2" s="1"/>
  <c r="AC147" i="2"/>
  <c r="AE147" i="2" s="1"/>
  <c r="P147" i="2"/>
  <c r="M147" i="2"/>
  <c r="L147" i="2"/>
  <c r="J147" i="2"/>
  <c r="E147" i="2"/>
  <c r="D147" i="2"/>
  <c r="AJ146" i="2"/>
  <c r="AL146" i="2" s="1"/>
  <c r="AE146" i="2"/>
  <c r="AF146" i="2" s="1"/>
  <c r="AC146" i="2"/>
  <c r="P146" i="2"/>
  <c r="L146" i="2"/>
  <c r="M146" i="2" s="1"/>
  <c r="J146" i="2"/>
  <c r="E146" i="2"/>
  <c r="D146" i="2"/>
  <c r="AJ145" i="2"/>
  <c r="AL145" i="2" s="1"/>
  <c r="AC145" i="2"/>
  <c r="P145" i="2"/>
  <c r="M145" i="2"/>
  <c r="L145" i="2"/>
  <c r="J145" i="2"/>
  <c r="E145" i="2"/>
  <c r="D145" i="2"/>
  <c r="AJ144" i="2"/>
  <c r="AL144" i="2" s="1"/>
  <c r="AN144" i="2" s="1"/>
  <c r="AC144" i="2"/>
  <c r="P144" i="2"/>
  <c r="L144" i="2"/>
  <c r="M144" i="2" s="1"/>
  <c r="J144" i="2"/>
  <c r="E144" i="2"/>
  <c r="D144" i="2"/>
  <c r="AJ143" i="2"/>
  <c r="AL143" i="2" s="1"/>
  <c r="AC143" i="2"/>
  <c r="P143" i="2"/>
  <c r="M143" i="2"/>
  <c r="L143" i="2"/>
  <c r="J143" i="2"/>
  <c r="E143" i="2"/>
  <c r="D143" i="2"/>
  <c r="AJ142" i="2"/>
  <c r="AL142" i="2" s="1"/>
  <c r="AC142" i="2"/>
  <c r="P142" i="2"/>
  <c r="L142" i="2"/>
  <c r="M142" i="2" s="1"/>
  <c r="J142" i="2"/>
  <c r="E142" i="2"/>
  <c r="D142" i="2"/>
  <c r="AJ141" i="2"/>
  <c r="AL141" i="2" s="1"/>
  <c r="AC141" i="2"/>
  <c r="P141" i="2"/>
  <c r="L141" i="2"/>
  <c r="M141" i="2" s="1"/>
  <c r="J141" i="2"/>
  <c r="E141" i="2"/>
  <c r="D141" i="2"/>
  <c r="AJ140" i="2"/>
  <c r="AL140" i="2" s="1"/>
  <c r="AC140" i="2"/>
  <c r="AE140" i="2" s="1"/>
  <c r="AF140" i="2" s="1"/>
  <c r="P140" i="2"/>
  <c r="L140" i="2"/>
  <c r="M140" i="2" s="1"/>
  <c r="J140" i="2"/>
  <c r="E140" i="2"/>
  <c r="D140" i="2"/>
  <c r="AJ139" i="2"/>
  <c r="AL139" i="2" s="1"/>
  <c r="AE139" i="2"/>
  <c r="AF139" i="2" s="1"/>
  <c r="AC139" i="2"/>
  <c r="P139" i="2"/>
  <c r="L139" i="2"/>
  <c r="M139" i="2" s="1"/>
  <c r="J139" i="2"/>
  <c r="E139" i="2"/>
  <c r="D139" i="2"/>
  <c r="AJ138" i="2"/>
  <c r="AL138" i="2" s="1"/>
  <c r="AN138" i="2" s="1"/>
  <c r="AC138" i="2"/>
  <c r="P138" i="2"/>
  <c r="L138" i="2"/>
  <c r="M138" i="2" s="1"/>
  <c r="J138" i="2"/>
  <c r="E138" i="2"/>
  <c r="D138" i="2"/>
  <c r="AJ137" i="2"/>
  <c r="AL137" i="2" s="1"/>
  <c r="AN137" i="2" s="1"/>
  <c r="AF137" i="2"/>
  <c r="AE137" i="2"/>
  <c r="AC137" i="2"/>
  <c r="P137" i="2"/>
  <c r="M137" i="2"/>
  <c r="L137" i="2"/>
  <c r="J137" i="2"/>
  <c r="E137" i="2"/>
  <c r="D137" i="2"/>
  <c r="AJ136" i="2"/>
  <c r="AL136" i="2" s="1"/>
  <c r="AE136" i="2"/>
  <c r="AC136" i="2"/>
  <c r="AF136" i="2" s="1"/>
  <c r="P136" i="2"/>
  <c r="M136" i="2"/>
  <c r="L136" i="2"/>
  <c r="J136" i="2"/>
  <c r="E136" i="2"/>
  <c r="D136" i="2"/>
  <c r="AJ135" i="2"/>
  <c r="AL135" i="2" s="1"/>
  <c r="AN135" i="2" s="1"/>
  <c r="AE135" i="2"/>
  <c r="AF135" i="2" s="1"/>
  <c r="AC135" i="2"/>
  <c r="P135" i="2"/>
  <c r="M135" i="2"/>
  <c r="L135" i="2"/>
  <c r="J135" i="2"/>
  <c r="E135" i="2"/>
  <c r="D135" i="2"/>
  <c r="AJ134" i="2"/>
  <c r="AL134" i="2" s="1"/>
  <c r="AC134" i="2"/>
  <c r="P134" i="2"/>
  <c r="L134" i="2"/>
  <c r="M134" i="2" s="1"/>
  <c r="J134" i="2"/>
  <c r="E134" i="2"/>
  <c r="D134" i="2"/>
  <c r="AJ133" i="2"/>
  <c r="AL133" i="2" s="1"/>
  <c r="AC133" i="2"/>
  <c r="P133" i="2"/>
  <c r="L133" i="2"/>
  <c r="M133" i="2" s="1"/>
  <c r="J133" i="2"/>
  <c r="E133" i="2"/>
  <c r="D133" i="2"/>
  <c r="AJ132" i="2"/>
  <c r="AL132" i="2" s="1"/>
  <c r="AE132" i="2"/>
  <c r="AF132" i="2" s="1"/>
  <c r="AC132" i="2"/>
  <c r="P132" i="2"/>
  <c r="L132" i="2"/>
  <c r="M132" i="2" s="1"/>
  <c r="J132" i="2"/>
  <c r="E132" i="2"/>
  <c r="D132" i="2"/>
  <c r="AJ131" i="2"/>
  <c r="AL131" i="2" s="1"/>
  <c r="AE131" i="2"/>
  <c r="AF131" i="2" s="1"/>
  <c r="AC131" i="2"/>
  <c r="P131" i="2"/>
  <c r="L131" i="2"/>
  <c r="M131" i="2" s="1"/>
  <c r="J131" i="2"/>
  <c r="E131" i="2"/>
  <c r="D131" i="2"/>
  <c r="AJ130" i="2"/>
  <c r="AL130" i="2" s="1"/>
  <c r="AN130" i="2" s="1"/>
  <c r="AE130" i="2"/>
  <c r="AF130" i="2" s="1"/>
  <c r="AC130" i="2"/>
  <c r="P130" i="2"/>
  <c r="L130" i="2"/>
  <c r="M130" i="2" s="1"/>
  <c r="J130" i="2"/>
  <c r="E130" i="2"/>
  <c r="D130" i="2"/>
  <c r="AJ129" i="2"/>
  <c r="AL129" i="2" s="1"/>
  <c r="AN129" i="2" s="1"/>
  <c r="AO129" i="2" s="1"/>
  <c r="AC129" i="2"/>
  <c r="P129" i="2"/>
  <c r="M129" i="2"/>
  <c r="L129" i="2"/>
  <c r="J129" i="2"/>
  <c r="E129" i="2"/>
  <c r="D129" i="2"/>
  <c r="AJ128" i="2"/>
  <c r="AL128" i="2" s="1"/>
  <c r="AC128" i="2"/>
  <c r="P128" i="2"/>
  <c r="L128" i="2"/>
  <c r="M128" i="2" s="1"/>
  <c r="J128" i="2"/>
  <c r="E128" i="2"/>
  <c r="D128" i="2"/>
  <c r="AJ127" i="2"/>
  <c r="AL127" i="2" s="1"/>
  <c r="AN127" i="2" s="1"/>
  <c r="AO127" i="2" s="1"/>
  <c r="AC127" i="2"/>
  <c r="P127" i="2"/>
  <c r="L127" i="2"/>
  <c r="M127" i="2" s="1"/>
  <c r="J127" i="2"/>
  <c r="E127" i="2"/>
  <c r="D127" i="2"/>
  <c r="AJ126" i="2"/>
  <c r="AL126" i="2" s="1"/>
  <c r="AF126" i="2"/>
  <c r="AE126" i="2"/>
  <c r="AC126" i="2"/>
  <c r="P126" i="2"/>
  <c r="L126" i="2"/>
  <c r="M126" i="2" s="1"/>
  <c r="J126" i="2"/>
  <c r="E126" i="2"/>
  <c r="D126" i="2"/>
  <c r="AJ125" i="2"/>
  <c r="AL125" i="2" s="1"/>
  <c r="AF125" i="2"/>
  <c r="AE125" i="2"/>
  <c r="AC125" i="2"/>
  <c r="P125" i="2"/>
  <c r="L125" i="2"/>
  <c r="M125" i="2" s="1"/>
  <c r="J125" i="2"/>
  <c r="E125" i="2"/>
  <c r="D125" i="2"/>
  <c r="AJ124" i="2"/>
  <c r="AL124" i="2" s="1"/>
  <c r="AC124" i="2"/>
  <c r="P124" i="2"/>
  <c r="L124" i="2"/>
  <c r="M124" i="2" s="1"/>
  <c r="J124" i="2"/>
  <c r="E124" i="2"/>
  <c r="D124" i="2"/>
  <c r="AJ123" i="2"/>
  <c r="AL123" i="2" s="1"/>
  <c r="AC123" i="2"/>
  <c r="P123" i="2"/>
  <c r="M123" i="2"/>
  <c r="L123" i="2"/>
  <c r="J123" i="2"/>
  <c r="E123" i="2"/>
  <c r="D123" i="2"/>
  <c r="AJ122" i="2"/>
  <c r="AL122" i="2" s="1"/>
  <c r="AC122" i="2"/>
  <c r="P122" i="2"/>
  <c r="M122" i="2"/>
  <c r="L122" i="2"/>
  <c r="J122" i="2"/>
  <c r="E122" i="2"/>
  <c r="D122" i="2"/>
  <c r="AJ121" i="2"/>
  <c r="AL121" i="2" s="1"/>
  <c r="AC121" i="2"/>
  <c r="P121" i="2"/>
  <c r="L121" i="2"/>
  <c r="M121" i="2" s="1"/>
  <c r="J121" i="2"/>
  <c r="E121" i="2"/>
  <c r="D121" i="2"/>
  <c r="AJ120" i="2"/>
  <c r="AL120" i="2" s="1"/>
  <c r="AC120" i="2"/>
  <c r="P120" i="2"/>
  <c r="L120" i="2"/>
  <c r="M120" i="2" s="1"/>
  <c r="J120" i="2"/>
  <c r="E120" i="2"/>
  <c r="D120" i="2"/>
  <c r="AJ119" i="2"/>
  <c r="AL119" i="2" s="1"/>
  <c r="AF119" i="2"/>
  <c r="AC119" i="2"/>
  <c r="AE119" i="2" s="1"/>
  <c r="P119" i="2"/>
  <c r="L119" i="2"/>
  <c r="M119" i="2" s="1"/>
  <c r="J119" i="2"/>
  <c r="E119" i="2"/>
  <c r="D119" i="2"/>
  <c r="AJ118" i="2"/>
  <c r="AL118" i="2" s="1"/>
  <c r="AF118" i="2"/>
  <c r="AE118" i="2"/>
  <c r="AC118" i="2"/>
  <c r="P118" i="2"/>
  <c r="M118" i="2"/>
  <c r="L118" i="2"/>
  <c r="J118" i="2"/>
  <c r="E118" i="2"/>
  <c r="D118" i="2"/>
  <c r="AJ117" i="2"/>
  <c r="AL117" i="2" s="1"/>
  <c r="AC117" i="2"/>
  <c r="P117" i="2"/>
  <c r="L117" i="2"/>
  <c r="M117" i="2" s="1"/>
  <c r="J117" i="2"/>
  <c r="E117" i="2"/>
  <c r="D117" i="2"/>
  <c r="AJ116" i="2"/>
  <c r="AL116" i="2" s="1"/>
  <c r="AN116" i="2" s="1"/>
  <c r="AC116" i="2"/>
  <c r="P116" i="2"/>
  <c r="L116" i="2"/>
  <c r="M116" i="2" s="1"/>
  <c r="J116" i="2"/>
  <c r="E116" i="2"/>
  <c r="D116" i="2"/>
  <c r="AJ115" i="2"/>
  <c r="AL115" i="2" s="1"/>
  <c r="AN115" i="2" s="1"/>
  <c r="AO115" i="2" s="1"/>
  <c r="AE115" i="2"/>
  <c r="AC115" i="2"/>
  <c r="P115" i="2"/>
  <c r="M115" i="2"/>
  <c r="L115" i="2"/>
  <c r="J115" i="2"/>
  <c r="E115" i="2"/>
  <c r="D115" i="2"/>
  <c r="AJ114" i="2"/>
  <c r="AL114" i="2" s="1"/>
  <c r="AN114" i="2" s="1"/>
  <c r="AC114" i="2"/>
  <c r="P114" i="2"/>
  <c r="M114" i="2"/>
  <c r="L114" i="2"/>
  <c r="J114" i="2"/>
  <c r="E114" i="2"/>
  <c r="D114" i="2"/>
  <c r="AJ113" i="2"/>
  <c r="AL113" i="2" s="1"/>
  <c r="AC113" i="2"/>
  <c r="P113" i="2"/>
  <c r="L113" i="2"/>
  <c r="M113" i="2" s="1"/>
  <c r="J113" i="2"/>
  <c r="E113" i="2"/>
  <c r="D113" i="2"/>
  <c r="AJ112" i="2"/>
  <c r="AL112" i="2" s="1"/>
  <c r="AF112" i="2"/>
  <c r="AE112" i="2"/>
  <c r="AC112" i="2"/>
  <c r="P112" i="2"/>
  <c r="M112" i="2"/>
  <c r="L112" i="2"/>
  <c r="J112" i="2"/>
  <c r="E112" i="2"/>
  <c r="D112" i="2"/>
  <c r="AJ111" i="2"/>
  <c r="AL111" i="2" s="1"/>
  <c r="AE111" i="2"/>
  <c r="AF111" i="2" s="1"/>
  <c r="AC111" i="2"/>
  <c r="P111" i="2"/>
  <c r="L111" i="2"/>
  <c r="M111" i="2" s="1"/>
  <c r="J111" i="2"/>
  <c r="E111" i="2"/>
  <c r="D111" i="2"/>
  <c r="AJ110" i="2"/>
  <c r="AL110" i="2" s="1"/>
  <c r="AN110" i="2" s="1"/>
  <c r="AC110" i="2"/>
  <c r="P110" i="2"/>
  <c r="L110" i="2"/>
  <c r="M110" i="2" s="1"/>
  <c r="J110" i="2"/>
  <c r="E110" i="2"/>
  <c r="D110" i="2"/>
  <c r="AJ109" i="2"/>
  <c r="AL109" i="2" s="1"/>
  <c r="AN109" i="2" s="1"/>
  <c r="AF109" i="2"/>
  <c r="AE109" i="2"/>
  <c r="AC109" i="2"/>
  <c r="P109" i="2"/>
  <c r="M109" i="2"/>
  <c r="L109" i="2"/>
  <c r="J109" i="2"/>
  <c r="E109" i="2"/>
  <c r="D109" i="2"/>
  <c r="AJ108" i="2"/>
  <c r="AL108" i="2" s="1"/>
  <c r="AE108" i="2"/>
  <c r="AC108" i="2"/>
  <c r="AF108" i="2" s="1"/>
  <c r="P108" i="2"/>
  <c r="M108" i="2"/>
  <c r="L108" i="2"/>
  <c r="J108" i="2"/>
  <c r="E108" i="2"/>
  <c r="D108" i="2"/>
  <c r="AJ107" i="2"/>
  <c r="AL107" i="2" s="1"/>
  <c r="AN107" i="2" s="1"/>
  <c r="AE107" i="2"/>
  <c r="AF107" i="2" s="1"/>
  <c r="AC107" i="2"/>
  <c r="P107" i="2"/>
  <c r="M107" i="2"/>
  <c r="L107" i="2"/>
  <c r="J107" i="2"/>
  <c r="E107" i="2"/>
  <c r="D107" i="2"/>
  <c r="AJ106" i="2"/>
  <c r="AL106" i="2" s="1"/>
  <c r="AC106" i="2"/>
  <c r="P106" i="2"/>
  <c r="L106" i="2"/>
  <c r="M106" i="2" s="1"/>
  <c r="J106" i="2"/>
  <c r="E106" i="2"/>
  <c r="D106" i="2"/>
  <c r="AJ105" i="2"/>
  <c r="AL105" i="2" s="1"/>
  <c r="AC105" i="2"/>
  <c r="P105" i="2"/>
  <c r="L105" i="2"/>
  <c r="M105" i="2" s="1"/>
  <c r="J105" i="2"/>
  <c r="E105" i="2"/>
  <c r="D105" i="2"/>
  <c r="AJ104" i="2"/>
  <c r="AL104" i="2" s="1"/>
  <c r="AE104" i="2"/>
  <c r="AF104" i="2" s="1"/>
  <c r="AC104" i="2"/>
  <c r="P104" i="2"/>
  <c r="L104" i="2"/>
  <c r="M104" i="2" s="1"/>
  <c r="J104" i="2"/>
  <c r="E104" i="2"/>
  <c r="D104" i="2"/>
  <c r="AJ103" i="2"/>
  <c r="AL103" i="2" s="1"/>
  <c r="AE103" i="2"/>
  <c r="AF103" i="2" s="1"/>
  <c r="AC103" i="2"/>
  <c r="P103" i="2"/>
  <c r="L103" i="2"/>
  <c r="M103" i="2" s="1"/>
  <c r="J103" i="2"/>
  <c r="E103" i="2"/>
  <c r="D103" i="2"/>
  <c r="AJ102" i="2"/>
  <c r="AL102" i="2" s="1"/>
  <c r="AN102" i="2" s="1"/>
  <c r="AC102" i="2"/>
  <c r="P102" i="2"/>
  <c r="L102" i="2"/>
  <c r="M102" i="2" s="1"/>
  <c r="J102" i="2"/>
  <c r="E102" i="2"/>
  <c r="D102" i="2"/>
  <c r="AJ101" i="2"/>
  <c r="AL101" i="2" s="1"/>
  <c r="AN101" i="2" s="1"/>
  <c r="AO101" i="2" s="1"/>
  <c r="AC101" i="2"/>
  <c r="P101" i="2"/>
  <c r="M101" i="2"/>
  <c r="L101" i="2"/>
  <c r="J101" i="2"/>
  <c r="E101" i="2"/>
  <c r="D101" i="2"/>
  <c r="AJ100" i="2"/>
  <c r="AL100" i="2" s="1"/>
  <c r="AC100" i="2"/>
  <c r="P100" i="2"/>
  <c r="L100" i="2"/>
  <c r="M100" i="2" s="1"/>
  <c r="J100" i="2"/>
  <c r="E100" i="2"/>
  <c r="D100" i="2"/>
  <c r="AJ99" i="2"/>
  <c r="AL99" i="2" s="1"/>
  <c r="AN99" i="2" s="1"/>
  <c r="AO99" i="2" s="1"/>
  <c r="AC99" i="2"/>
  <c r="P99" i="2"/>
  <c r="L99" i="2"/>
  <c r="M99" i="2" s="1"/>
  <c r="J99" i="2"/>
  <c r="E99" i="2"/>
  <c r="D99" i="2"/>
  <c r="AJ98" i="2"/>
  <c r="AL98" i="2" s="1"/>
  <c r="AN98" i="2" s="1"/>
  <c r="AO98" i="2" s="1"/>
  <c r="AF98" i="2"/>
  <c r="AE98" i="2"/>
  <c r="AC98" i="2"/>
  <c r="P98" i="2"/>
  <c r="L98" i="2"/>
  <c r="M98" i="2" s="1"/>
  <c r="J98" i="2"/>
  <c r="E98" i="2"/>
  <c r="D98" i="2"/>
  <c r="AJ97" i="2"/>
  <c r="AL97" i="2" s="1"/>
  <c r="AF97" i="2"/>
  <c r="AE97" i="2"/>
  <c r="AC97" i="2"/>
  <c r="P97" i="2"/>
  <c r="L97" i="2"/>
  <c r="M97" i="2" s="1"/>
  <c r="J97" i="2"/>
  <c r="E97" i="2"/>
  <c r="D97" i="2"/>
  <c r="AJ96" i="2"/>
  <c r="AL96" i="2" s="1"/>
  <c r="AC96" i="2"/>
  <c r="P96" i="2"/>
  <c r="L96" i="2"/>
  <c r="M96" i="2" s="1"/>
  <c r="J96" i="2"/>
  <c r="E96" i="2"/>
  <c r="D96" i="2"/>
  <c r="AJ95" i="2"/>
  <c r="AL95" i="2" s="1"/>
  <c r="AC95" i="2"/>
  <c r="P95" i="2"/>
  <c r="M95" i="2"/>
  <c r="L95" i="2"/>
  <c r="J95" i="2"/>
  <c r="E95" i="2"/>
  <c r="D95" i="2"/>
  <c r="AJ94" i="2"/>
  <c r="AL94" i="2" s="1"/>
  <c r="AC94" i="2"/>
  <c r="P94" i="2"/>
  <c r="M94" i="2"/>
  <c r="L94" i="2"/>
  <c r="J94" i="2"/>
  <c r="E94" i="2"/>
  <c r="D94" i="2"/>
  <c r="AJ93" i="2"/>
  <c r="AL93" i="2" s="1"/>
  <c r="AC93" i="2"/>
  <c r="AE93" i="2" s="1"/>
  <c r="P93" i="2"/>
  <c r="L93" i="2"/>
  <c r="M93" i="2" s="1"/>
  <c r="J93" i="2"/>
  <c r="E93" i="2"/>
  <c r="D93" i="2"/>
  <c r="AJ92" i="2"/>
  <c r="AL92" i="2" s="1"/>
  <c r="AC92" i="2"/>
  <c r="P92" i="2"/>
  <c r="L92" i="2"/>
  <c r="M92" i="2" s="1"/>
  <c r="J92" i="2"/>
  <c r="E92" i="2"/>
  <c r="D92" i="2"/>
  <c r="AJ91" i="2"/>
  <c r="AL91" i="2" s="1"/>
  <c r="AF91" i="2"/>
  <c r="AC91" i="2"/>
  <c r="AE91" i="2" s="1"/>
  <c r="P91" i="2"/>
  <c r="L91" i="2"/>
  <c r="M91" i="2" s="1"/>
  <c r="J91" i="2"/>
  <c r="E91" i="2"/>
  <c r="D91" i="2"/>
  <c r="AJ90" i="2"/>
  <c r="AL90" i="2" s="1"/>
  <c r="AF90" i="2"/>
  <c r="AE90" i="2"/>
  <c r="AC90" i="2"/>
  <c r="P90" i="2"/>
  <c r="M90" i="2"/>
  <c r="L90" i="2"/>
  <c r="J90" i="2"/>
  <c r="E90" i="2"/>
  <c r="D90" i="2"/>
  <c r="AJ89" i="2"/>
  <c r="AL89" i="2" s="1"/>
  <c r="AC89" i="2"/>
  <c r="P89" i="2"/>
  <c r="L89" i="2"/>
  <c r="M89" i="2" s="1"/>
  <c r="J89" i="2"/>
  <c r="E89" i="2"/>
  <c r="D89" i="2"/>
  <c r="AJ88" i="2"/>
  <c r="AL88" i="2" s="1"/>
  <c r="AN88" i="2" s="1"/>
  <c r="AC88" i="2"/>
  <c r="P88" i="2"/>
  <c r="L88" i="2"/>
  <c r="M88" i="2" s="1"/>
  <c r="J88" i="2"/>
  <c r="E88" i="2"/>
  <c r="D88" i="2"/>
  <c r="AJ87" i="2"/>
  <c r="AL87" i="2" s="1"/>
  <c r="AN87" i="2" s="1"/>
  <c r="AO87" i="2" s="1"/>
  <c r="AE87" i="2"/>
  <c r="AC87" i="2"/>
  <c r="P87" i="2"/>
  <c r="M87" i="2"/>
  <c r="L87" i="2"/>
  <c r="J87" i="2"/>
  <c r="E87" i="2"/>
  <c r="D87" i="2"/>
  <c r="AJ86" i="2"/>
  <c r="AL86" i="2" s="1"/>
  <c r="AN86" i="2" s="1"/>
  <c r="AC86" i="2"/>
  <c r="P86" i="2"/>
  <c r="M86" i="2"/>
  <c r="L86" i="2"/>
  <c r="J86" i="2"/>
  <c r="E86" i="2"/>
  <c r="D86" i="2"/>
  <c r="AJ85" i="2"/>
  <c r="AL85" i="2" s="1"/>
  <c r="AC85" i="2"/>
  <c r="P85" i="2"/>
  <c r="L85" i="2"/>
  <c r="M85" i="2" s="1"/>
  <c r="J85" i="2"/>
  <c r="E85" i="2"/>
  <c r="D85" i="2"/>
  <c r="AJ84" i="2"/>
  <c r="AL84" i="2" s="1"/>
  <c r="AF84" i="2"/>
  <c r="AE84" i="2"/>
  <c r="AC84" i="2"/>
  <c r="P84" i="2"/>
  <c r="M84" i="2"/>
  <c r="L84" i="2"/>
  <c r="J84" i="2"/>
  <c r="E84" i="2"/>
  <c r="D84" i="2"/>
  <c r="AJ83" i="2"/>
  <c r="AL83" i="2" s="1"/>
  <c r="AE83" i="2"/>
  <c r="AF83" i="2" s="1"/>
  <c r="AC83" i="2"/>
  <c r="P83" i="2"/>
  <c r="L83" i="2"/>
  <c r="M83" i="2" s="1"/>
  <c r="J83" i="2"/>
  <c r="E83" i="2"/>
  <c r="D83" i="2"/>
  <c r="AJ82" i="2"/>
  <c r="AL82" i="2" s="1"/>
  <c r="AN82" i="2" s="1"/>
  <c r="AC82" i="2"/>
  <c r="P82" i="2"/>
  <c r="L82" i="2"/>
  <c r="M82" i="2" s="1"/>
  <c r="J82" i="2"/>
  <c r="E82" i="2"/>
  <c r="D82" i="2"/>
  <c r="AJ81" i="2"/>
  <c r="AL81" i="2" s="1"/>
  <c r="AN81" i="2" s="1"/>
  <c r="AF81" i="2"/>
  <c r="AE81" i="2"/>
  <c r="AC81" i="2"/>
  <c r="P81" i="2"/>
  <c r="M81" i="2"/>
  <c r="L81" i="2"/>
  <c r="J81" i="2"/>
  <c r="E81" i="2"/>
  <c r="D81" i="2"/>
  <c r="AJ80" i="2"/>
  <c r="AL80" i="2" s="1"/>
  <c r="AN80" i="2" s="1"/>
  <c r="AE80" i="2"/>
  <c r="AC80" i="2"/>
  <c r="AF80" i="2" s="1"/>
  <c r="P80" i="2"/>
  <c r="M80" i="2"/>
  <c r="L80" i="2"/>
  <c r="J80" i="2"/>
  <c r="E80" i="2"/>
  <c r="D80" i="2"/>
  <c r="AJ79" i="2"/>
  <c r="AL79" i="2" s="1"/>
  <c r="AE79" i="2"/>
  <c r="AF79" i="2" s="1"/>
  <c r="AC79" i="2"/>
  <c r="P79" i="2"/>
  <c r="M79" i="2"/>
  <c r="L79" i="2"/>
  <c r="J79" i="2"/>
  <c r="E79" i="2"/>
  <c r="D79" i="2"/>
  <c r="AJ78" i="2"/>
  <c r="AL78" i="2" s="1"/>
  <c r="AC78" i="2"/>
  <c r="P78" i="2"/>
  <c r="L78" i="2"/>
  <c r="M78" i="2" s="1"/>
  <c r="J78" i="2"/>
  <c r="E78" i="2"/>
  <c r="D78" i="2"/>
  <c r="AJ77" i="2"/>
  <c r="AL77" i="2" s="1"/>
  <c r="AC77" i="2"/>
  <c r="P77" i="2"/>
  <c r="L77" i="2"/>
  <c r="M77" i="2" s="1"/>
  <c r="J77" i="2"/>
  <c r="E77" i="2"/>
  <c r="D77" i="2"/>
  <c r="AJ76" i="2"/>
  <c r="AL76" i="2" s="1"/>
  <c r="AE76" i="2"/>
  <c r="AF76" i="2" s="1"/>
  <c r="AC76" i="2"/>
  <c r="P76" i="2"/>
  <c r="L76" i="2"/>
  <c r="M76" i="2" s="1"/>
  <c r="J76" i="2"/>
  <c r="E76" i="2"/>
  <c r="D76" i="2"/>
  <c r="AJ75" i="2"/>
  <c r="AL75" i="2" s="1"/>
  <c r="AE75" i="2"/>
  <c r="AF75" i="2" s="1"/>
  <c r="AC75" i="2"/>
  <c r="P75" i="2"/>
  <c r="L75" i="2"/>
  <c r="M75" i="2" s="1"/>
  <c r="J75" i="2"/>
  <c r="E75" i="2"/>
  <c r="D75" i="2"/>
  <c r="AJ74" i="2"/>
  <c r="AL74" i="2" s="1"/>
  <c r="AN74" i="2" s="1"/>
  <c r="AC74" i="2"/>
  <c r="P74" i="2"/>
  <c r="L74" i="2"/>
  <c r="M74" i="2" s="1"/>
  <c r="J74" i="2"/>
  <c r="E74" i="2"/>
  <c r="D74" i="2"/>
  <c r="AJ73" i="2"/>
  <c r="AL73" i="2" s="1"/>
  <c r="AN73" i="2" s="1"/>
  <c r="AO73" i="2" s="1"/>
  <c r="AC73" i="2"/>
  <c r="P73" i="2"/>
  <c r="L73" i="2"/>
  <c r="M73" i="2" s="1"/>
  <c r="J73" i="2"/>
  <c r="E73" i="2"/>
  <c r="D73" i="2"/>
  <c r="AJ72" i="2"/>
  <c r="AL72" i="2" s="1"/>
  <c r="AC72" i="2"/>
  <c r="P72" i="2"/>
  <c r="L72" i="2"/>
  <c r="M72" i="2" s="1"/>
  <c r="J72" i="2"/>
  <c r="E72" i="2"/>
  <c r="D72" i="2"/>
  <c r="AJ71" i="2"/>
  <c r="AL71" i="2" s="1"/>
  <c r="AN71" i="2" s="1"/>
  <c r="AO71" i="2" s="1"/>
  <c r="AC71" i="2"/>
  <c r="P71" i="2"/>
  <c r="L71" i="2"/>
  <c r="M71" i="2" s="1"/>
  <c r="J71" i="2"/>
  <c r="E71" i="2"/>
  <c r="D71" i="2"/>
  <c r="AJ70" i="2"/>
  <c r="AL70" i="2" s="1"/>
  <c r="AN70" i="2" s="1"/>
  <c r="AO70" i="2" s="1"/>
  <c r="AF70" i="2"/>
  <c r="AE70" i="2"/>
  <c r="AC70" i="2"/>
  <c r="P70" i="2"/>
  <c r="L70" i="2"/>
  <c r="M70" i="2" s="1"/>
  <c r="J70" i="2"/>
  <c r="E70" i="2"/>
  <c r="D70" i="2"/>
  <c r="AJ69" i="2"/>
  <c r="AL69" i="2" s="1"/>
  <c r="AN69" i="2" s="1"/>
  <c r="AF69" i="2"/>
  <c r="AE69" i="2"/>
  <c r="AC69" i="2"/>
  <c r="P69" i="2"/>
  <c r="L69" i="2"/>
  <c r="M69" i="2" s="1"/>
  <c r="J69" i="2"/>
  <c r="E69" i="2"/>
  <c r="D69" i="2"/>
  <c r="AJ68" i="2"/>
  <c r="AL68" i="2" s="1"/>
  <c r="AC68" i="2"/>
  <c r="AE68" i="2" s="1"/>
  <c r="AF68" i="2" s="1"/>
  <c r="P68" i="2"/>
  <c r="L68" i="2"/>
  <c r="M68" i="2" s="1"/>
  <c r="J68" i="2"/>
  <c r="E68" i="2"/>
  <c r="D68" i="2"/>
  <c r="AJ67" i="2"/>
  <c r="AL67" i="2" s="1"/>
  <c r="AC67" i="2"/>
  <c r="P67" i="2"/>
  <c r="M67" i="2"/>
  <c r="L67" i="2"/>
  <c r="J67" i="2"/>
  <c r="E67" i="2"/>
  <c r="D67" i="2"/>
  <c r="AJ66" i="2"/>
  <c r="AL66" i="2" s="1"/>
  <c r="AC66" i="2"/>
  <c r="P66" i="2"/>
  <c r="M66" i="2"/>
  <c r="L66" i="2"/>
  <c r="J66" i="2"/>
  <c r="E66" i="2"/>
  <c r="D66" i="2"/>
  <c r="AJ65" i="2"/>
  <c r="AL65" i="2" s="1"/>
  <c r="AC65" i="2"/>
  <c r="P65" i="2"/>
  <c r="L65" i="2"/>
  <c r="M65" i="2" s="1"/>
  <c r="J65" i="2"/>
  <c r="E65" i="2"/>
  <c r="D65" i="2"/>
  <c r="AJ64" i="2"/>
  <c r="AL64" i="2" s="1"/>
  <c r="AC64" i="2"/>
  <c r="AE64" i="2" s="1"/>
  <c r="AF64" i="2" s="1"/>
  <c r="P64" i="2"/>
  <c r="L64" i="2"/>
  <c r="M64" i="2" s="1"/>
  <c r="J64" i="2"/>
  <c r="E64" i="2"/>
  <c r="D64" i="2"/>
  <c r="AJ63" i="2"/>
  <c r="AL63" i="2" s="1"/>
  <c r="AC63" i="2"/>
  <c r="AE63" i="2" s="1"/>
  <c r="P63" i="2"/>
  <c r="L63" i="2"/>
  <c r="M63" i="2" s="1"/>
  <c r="J63" i="2"/>
  <c r="E63" i="2"/>
  <c r="D63" i="2"/>
  <c r="AJ62" i="2"/>
  <c r="AL62" i="2" s="1"/>
  <c r="AC62" i="2"/>
  <c r="AE62" i="2" s="1"/>
  <c r="P62" i="2"/>
  <c r="L62" i="2"/>
  <c r="M62" i="2" s="1"/>
  <c r="J62" i="2"/>
  <c r="E62" i="2"/>
  <c r="D62" i="2"/>
  <c r="AJ61" i="2"/>
  <c r="AL61" i="2" s="1"/>
  <c r="AC61" i="2"/>
  <c r="AE61" i="2" s="1"/>
  <c r="AF61" i="2" s="1"/>
  <c r="P61" i="2"/>
  <c r="L61" i="2"/>
  <c r="M61" i="2" s="1"/>
  <c r="J61" i="2"/>
  <c r="E61" i="2"/>
  <c r="D61" i="2"/>
  <c r="AJ60" i="2"/>
  <c r="AL60" i="2" s="1"/>
  <c r="AN60" i="2" s="1"/>
  <c r="AC60" i="2"/>
  <c r="P60" i="2"/>
  <c r="L60" i="2"/>
  <c r="M60" i="2" s="1"/>
  <c r="J60" i="2"/>
  <c r="E60" i="2"/>
  <c r="D60" i="2"/>
  <c r="AJ59" i="2"/>
  <c r="AL59" i="2" s="1"/>
  <c r="AC59" i="2"/>
  <c r="AE59" i="2" s="1"/>
  <c r="AF59" i="2" s="1"/>
  <c r="P59" i="2"/>
  <c r="M59" i="2"/>
  <c r="L59" i="2"/>
  <c r="J59" i="2"/>
  <c r="E59" i="2"/>
  <c r="D59" i="2"/>
  <c r="AJ58" i="2"/>
  <c r="AL58" i="2" s="1"/>
  <c r="AC58" i="2"/>
  <c r="P58" i="2"/>
  <c r="L58" i="2"/>
  <c r="M58" i="2" s="1"/>
  <c r="J58" i="2"/>
  <c r="E58" i="2"/>
  <c r="D58" i="2"/>
  <c r="AJ57" i="2"/>
  <c r="AL57" i="2" s="1"/>
  <c r="AC57" i="2"/>
  <c r="P57" i="2"/>
  <c r="L57" i="2"/>
  <c r="M57" i="2" s="1"/>
  <c r="J57" i="2"/>
  <c r="E57" i="2"/>
  <c r="D57" i="2"/>
  <c r="AJ56" i="2"/>
  <c r="AL56" i="2" s="1"/>
  <c r="AF56" i="2"/>
  <c r="AE56" i="2"/>
  <c r="AC56" i="2"/>
  <c r="P56" i="2"/>
  <c r="L56" i="2"/>
  <c r="M56" i="2" s="1"/>
  <c r="J56" i="2"/>
  <c r="E56" i="2"/>
  <c r="D56" i="2"/>
  <c r="AJ55" i="2"/>
  <c r="AL55" i="2" s="1"/>
  <c r="AN55" i="2" s="1"/>
  <c r="AE55" i="2"/>
  <c r="AF55" i="2" s="1"/>
  <c r="AC55" i="2"/>
  <c r="P55" i="2"/>
  <c r="L55" i="2"/>
  <c r="M55" i="2" s="1"/>
  <c r="J55" i="2"/>
  <c r="E55" i="2"/>
  <c r="D55" i="2"/>
  <c r="AJ54" i="2"/>
  <c r="AL54" i="2" s="1"/>
  <c r="AN54" i="2" s="1"/>
  <c r="AO54" i="2" s="1"/>
  <c r="AC54" i="2"/>
  <c r="P54" i="2"/>
  <c r="L54" i="2"/>
  <c r="M54" i="2" s="1"/>
  <c r="J54" i="2"/>
  <c r="E54" i="2"/>
  <c r="D54" i="2"/>
  <c r="AJ53" i="2"/>
  <c r="AL53" i="2" s="1"/>
  <c r="AC53" i="2"/>
  <c r="P53" i="2"/>
  <c r="M53" i="2"/>
  <c r="L53" i="2"/>
  <c r="J53" i="2"/>
  <c r="E53" i="2"/>
  <c r="D53" i="2"/>
  <c r="AJ52" i="2"/>
  <c r="AL52" i="2" s="1"/>
  <c r="AF52" i="2"/>
  <c r="AE52" i="2"/>
  <c r="AC52" i="2"/>
  <c r="P52" i="2"/>
  <c r="M52" i="2"/>
  <c r="L52" i="2"/>
  <c r="J52" i="2"/>
  <c r="E52" i="2"/>
  <c r="D52" i="2"/>
  <c r="AJ51" i="2"/>
  <c r="AL51" i="2" s="1"/>
  <c r="AE51" i="2"/>
  <c r="AF51" i="2" s="1"/>
  <c r="AC51" i="2"/>
  <c r="P51" i="2"/>
  <c r="L51" i="2"/>
  <c r="M51" i="2" s="1"/>
  <c r="J51" i="2"/>
  <c r="E51" i="2"/>
  <c r="D51" i="2"/>
  <c r="AJ50" i="2"/>
  <c r="AL50" i="2" s="1"/>
  <c r="AC50" i="2"/>
  <c r="AE50" i="2" s="1"/>
  <c r="AF50" i="2" s="1"/>
  <c r="P50" i="2"/>
  <c r="L50" i="2"/>
  <c r="M50" i="2" s="1"/>
  <c r="J50" i="2"/>
  <c r="E50" i="2"/>
  <c r="D50" i="2"/>
  <c r="AJ49" i="2"/>
  <c r="AL49" i="2" s="1"/>
  <c r="AN49" i="2" s="1"/>
  <c r="AO49" i="2" s="1"/>
  <c r="AC49" i="2"/>
  <c r="P49" i="2"/>
  <c r="M49" i="2"/>
  <c r="L49" i="2"/>
  <c r="J49" i="2"/>
  <c r="E49" i="2"/>
  <c r="D49" i="2"/>
  <c r="AJ48" i="2"/>
  <c r="AL48" i="2" s="1"/>
  <c r="AE48" i="2"/>
  <c r="AC48" i="2"/>
  <c r="AF48" i="2" s="1"/>
  <c r="P48" i="2"/>
  <c r="L48" i="2"/>
  <c r="M48" i="2" s="1"/>
  <c r="J48" i="2"/>
  <c r="E48" i="2"/>
  <c r="D48" i="2"/>
  <c r="AJ47" i="2"/>
  <c r="AL47" i="2" s="1"/>
  <c r="AC47" i="2"/>
  <c r="P47" i="2"/>
  <c r="M47" i="2"/>
  <c r="L47" i="2"/>
  <c r="J47" i="2"/>
  <c r="E47" i="2"/>
  <c r="D47" i="2"/>
  <c r="AJ46" i="2"/>
  <c r="AL46" i="2" s="1"/>
  <c r="AN46" i="2" s="1"/>
  <c r="AC46" i="2"/>
  <c r="P46" i="2"/>
  <c r="L46" i="2"/>
  <c r="M46" i="2" s="1"/>
  <c r="J46" i="2"/>
  <c r="E46" i="2"/>
  <c r="D46" i="2"/>
  <c r="AJ45" i="2"/>
  <c r="AL45" i="2" s="1"/>
  <c r="AC45" i="2"/>
  <c r="P45" i="2"/>
  <c r="L45" i="2"/>
  <c r="M45" i="2" s="1"/>
  <c r="J45" i="2"/>
  <c r="E45" i="2"/>
  <c r="D45" i="2"/>
  <c r="AJ44" i="2"/>
  <c r="AL44" i="2" s="1"/>
  <c r="AE44" i="2"/>
  <c r="AC44" i="2"/>
  <c r="P44" i="2"/>
  <c r="L44" i="2"/>
  <c r="M44" i="2" s="1"/>
  <c r="J44" i="2"/>
  <c r="E44" i="2"/>
  <c r="D44" i="2"/>
  <c r="AJ43" i="2"/>
  <c r="AL43" i="2" s="1"/>
  <c r="AC43" i="2"/>
  <c r="P43" i="2"/>
  <c r="M43" i="2"/>
  <c r="L43" i="2"/>
  <c r="J43" i="2"/>
  <c r="E43" i="2"/>
  <c r="D43" i="2"/>
  <c r="AJ42" i="2"/>
  <c r="AL42" i="2" s="1"/>
  <c r="AF42" i="2"/>
  <c r="AE42" i="2"/>
  <c r="AC42" i="2"/>
  <c r="P42" i="2"/>
  <c r="M42" i="2"/>
  <c r="L42" i="2"/>
  <c r="J42" i="2"/>
  <c r="E42" i="2"/>
  <c r="D42" i="2"/>
  <c r="AJ41" i="2"/>
  <c r="AL41" i="2" s="1"/>
  <c r="AE41" i="2"/>
  <c r="AF41" i="2" s="1"/>
  <c r="AC41" i="2"/>
  <c r="P41" i="2"/>
  <c r="L41" i="2"/>
  <c r="M41" i="2" s="1"/>
  <c r="J41" i="2"/>
  <c r="E41" i="2"/>
  <c r="D41" i="2"/>
  <c r="AJ40" i="2"/>
  <c r="AL40" i="2" s="1"/>
  <c r="AC40" i="2"/>
  <c r="AE40" i="2" s="1"/>
  <c r="AF40" i="2" s="1"/>
  <c r="P40" i="2"/>
  <c r="L40" i="2"/>
  <c r="M40" i="2" s="1"/>
  <c r="J40" i="2"/>
  <c r="E40" i="2"/>
  <c r="D40" i="2"/>
  <c r="AJ39" i="2"/>
  <c r="AL39" i="2" s="1"/>
  <c r="AC39" i="2"/>
  <c r="P39" i="2"/>
  <c r="M39" i="2"/>
  <c r="L39" i="2"/>
  <c r="J39" i="2"/>
  <c r="E39" i="2"/>
  <c r="D39" i="2"/>
  <c r="AJ38" i="2"/>
  <c r="AL38" i="2" s="1"/>
  <c r="AC38" i="2"/>
  <c r="P38" i="2"/>
  <c r="M38" i="2"/>
  <c r="L38" i="2"/>
  <c r="J38" i="2"/>
  <c r="E38" i="2"/>
  <c r="D38" i="2"/>
  <c r="AJ37" i="2"/>
  <c r="AL37" i="2" s="1"/>
  <c r="AN37" i="2" s="1"/>
  <c r="AC37" i="2"/>
  <c r="AE37" i="2" s="1"/>
  <c r="P37" i="2"/>
  <c r="L37" i="2"/>
  <c r="M37" i="2" s="1"/>
  <c r="J37" i="2"/>
  <c r="E37" i="2"/>
  <c r="D37" i="2"/>
  <c r="AJ36" i="2"/>
  <c r="AL36" i="2" s="1"/>
  <c r="AC36" i="2"/>
  <c r="P36" i="2"/>
  <c r="L36" i="2"/>
  <c r="M36" i="2" s="1"/>
  <c r="J36" i="2"/>
  <c r="E36" i="2"/>
  <c r="D36" i="2"/>
  <c r="AJ35" i="2"/>
  <c r="AL35" i="2" s="1"/>
  <c r="AC35" i="2"/>
  <c r="P35" i="2"/>
  <c r="L35" i="2"/>
  <c r="M35" i="2" s="1"/>
  <c r="J35" i="2"/>
  <c r="E35" i="2"/>
  <c r="D35" i="2"/>
  <c r="AJ34" i="2"/>
  <c r="AL34" i="2" s="1"/>
  <c r="AN34" i="2" s="1"/>
  <c r="AF34" i="2"/>
  <c r="AE34" i="2"/>
  <c r="AC34" i="2"/>
  <c r="P34" i="2"/>
  <c r="L34" i="2"/>
  <c r="M34" i="2" s="1"/>
  <c r="J34" i="2"/>
  <c r="E34" i="2"/>
  <c r="D34" i="2"/>
  <c r="AJ33" i="2"/>
  <c r="AL33" i="2" s="1"/>
  <c r="AC33" i="2"/>
  <c r="AE33" i="2" s="1"/>
  <c r="P33" i="2"/>
  <c r="L33" i="2"/>
  <c r="M33" i="2" s="1"/>
  <c r="J33" i="2"/>
  <c r="E33" i="2"/>
  <c r="D33" i="2"/>
  <c r="AJ32" i="2"/>
  <c r="AL32" i="2" s="1"/>
  <c r="AC32" i="2"/>
  <c r="P32" i="2"/>
  <c r="L32" i="2"/>
  <c r="M32" i="2" s="1"/>
  <c r="J32" i="2"/>
  <c r="E32" i="2"/>
  <c r="D32" i="2"/>
  <c r="AJ31" i="2"/>
  <c r="AL31" i="2" s="1"/>
  <c r="AN31" i="2" s="1"/>
  <c r="AO31" i="2" s="1"/>
  <c r="AC31" i="2"/>
  <c r="AE31" i="2" s="1"/>
  <c r="AF31" i="2" s="1"/>
  <c r="P31" i="2"/>
  <c r="L31" i="2"/>
  <c r="M31" i="2" s="1"/>
  <c r="J31" i="2"/>
  <c r="E31" i="2"/>
  <c r="D31" i="2"/>
  <c r="AJ30" i="2"/>
  <c r="AL30" i="2" s="1"/>
  <c r="AC30" i="2"/>
  <c r="P30" i="2"/>
  <c r="L30" i="2"/>
  <c r="M30" i="2" s="1"/>
  <c r="J30" i="2"/>
  <c r="E30" i="2"/>
  <c r="D30" i="2"/>
  <c r="AJ29" i="2"/>
  <c r="AL29" i="2" s="1"/>
  <c r="AN29" i="2" s="1"/>
  <c r="AC29" i="2"/>
  <c r="P29" i="2"/>
  <c r="L29" i="2"/>
  <c r="M29" i="2" s="1"/>
  <c r="J29" i="2"/>
  <c r="E29" i="2"/>
  <c r="D29" i="2"/>
  <c r="AJ28" i="2"/>
  <c r="AL28" i="2" s="1"/>
  <c r="AF28" i="2"/>
  <c r="AE28" i="2"/>
  <c r="AC28" i="2"/>
  <c r="P28" i="2"/>
  <c r="L28" i="2"/>
  <c r="M28" i="2" s="1"/>
  <c r="J28" i="2"/>
  <c r="E28" i="2"/>
  <c r="D28" i="2"/>
  <c r="AJ27" i="2"/>
  <c r="AL27" i="2" s="1"/>
  <c r="AF27" i="2"/>
  <c r="AE27" i="2"/>
  <c r="AC27" i="2"/>
  <c r="P27" i="2"/>
  <c r="L27" i="2"/>
  <c r="M27" i="2" s="1"/>
  <c r="J27" i="2"/>
  <c r="E27" i="2"/>
  <c r="D27" i="2"/>
  <c r="AJ26" i="2"/>
  <c r="AL26" i="2" s="1"/>
  <c r="AN26" i="2" s="1"/>
  <c r="AO26" i="2" s="1"/>
  <c r="AE26" i="2"/>
  <c r="AF26" i="2" s="1"/>
  <c r="AC26" i="2"/>
  <c r="P26" i="2"/>
  <c r="L26" i="2"/>
  <c r="M26" i="2" s="1"/>
  <c r="J26" i="2"/>
  <c r="E26" i="2"/>
  <c r="D26" i="2"/>
  <c r="AJ25" i="2"/>
  <c r="AL25" i="2" s="1"/>
  <c r="AN25" i="2" s="1"/>
  <c r="AC25" i="2"/>
  <c r="P25" i="2"/>
  <c r="L25" i="2"/>
  <c r="M25" i="2" s="1"/>
  <c r="J25" i="2"/>
  <c r="E25" i="2"/>
  <c r="D25" i="2"/>
  <c r="AJ24" i="2"/>
  <c r="AL24" i="2" s="1"/>
  <c r="AC24" i="2"/>
  <c r="AE24" i="2" s="1"/>
  <c r="AF24" i="2" s="1"/>
  <c r="P24" i="2"/>
  <c r="L24" i="2"/>
  <c r="M24" i="2" s="1"/>
  <c r="J24" i="2"/>
  <c r="E24" i="2"/>
  <c r="D24" i="2"/>
  <c r="AJ23" i="2"/>
  <c r="AL23" i="2" s="1"/>
  <c r="AC23" i="2"/>
  <c r="P23" i="2"/>
  <c r="L23" i="2"/>
  <c r="M23" i="2" s="1"/>
  <c r="J23" i="2"/>
  <c r="E23" i="2"/>
  <c r="D23" i="2"/>
  <c r="AJ22" i="2"/>
  <c r="AL22" i="2" s="1"/>
  <c r="AC22" i="2"/>
  <c r="P22" i="2"/>
  <c r="L22" i="2"/>
  <c r="M22" i="2" s="1"/>
  <c r="J22" i="2"/>
  <c r="E22" i="2"/>
  <c r="D22" i="2"/>
  <c r="AJ21" i="2"/>
  <c r="AL21" i="2" s="1"/>
  <c r="AC21" i="2"/>
  <c r="P21" i="2"/>
  <c r="L21" i="2"/>
  <c r="M21" i="2" s="1"/>
  <c r="J21" i="2"/>
  <c r="E21" i="2"/>
  <c r="D21" i="2"/>
  <c r="AJ20" i="2"/>
  <c r="AL20" i="2" s="1"/>
  <c r="AC20" i="2"/>
  <c r="P20" i="2"/>
  <c r="L20" i="2"/>
  <c r="M20" i="2" s="1"/>
  <c r="J20" i="2"/>
  <c r="E20" i="2"/>
  <c r="D20" i="2"/>
  <c r="AJ19" i="2"/>
  <c r="AL19" i="2" s="1"/>
  <c r="AC19" i="2"/>
  <c r="P19" i="2"/>
  <c r="L19" i="2"/>
  <c r="M19" i="2" s="1"/>
  <c r="J19" i="2"/>
  <c r="E19" i="2"/>
  <c r="D19" i="2"/>
  <c r="AJ18" i="2"/>
  <c r="AL18" i="2" s="1"/>
  <c r="AN18" i="2" s="1"/>
  <c r="AF18" i="2"/>
  <c r="AE18" i="2"/>
  <c r="AC18" i="2"/>
  <c r="P18" i="2"/>
  <c r="L18" i="2"/>
  <c r="M18" i="2" s="1"/>
  <c r="J18" i="2"/>
  <c r="E18" i="2"/>
  <c r="D18" i="2"/>
  <c r="AJ17" i="2"/>
  <c r="AL17" i="2" s="1"/>
  <c r="AN17" i="2" s="1"/>
  <c r="AO17" i="2" s="1"/>
  <c r="AC17" i="2"/>
  <c r="AE17" i="2" s="1"/>
  <c r="AF17" i="2" s="1"/>
  <c r="P17" i="2"/>
  <c r="L17" i="2"/>
  <c r="M17" i="2" s="1"/>
  <c r="J17" i="2"/>
  <c r="E17" i="2"/>
  <c r="D17" i="2"/>
  <c r="AJ16" i="2"/>
  <c r="AL16" i="2" s="1"/>
  <c r="AC16" i="2"/>
  <c r="P16" i="2"/>
  <c r="L16" i="2"/>
  <c r="M16" i="2" s="1"/>
  <c r="J16" i="2"/>
  <c r="E16" i="2"/>
  <c r="D16" i="2"/>
  <c r="AJ15" i="2"/>
  <c r="AL15" i="2" s="1"/>
  <c r="AC15" i="2"/>
  <c r="AE15" i="2" s="1"/>
  <c r="L15" i="2"/>
  <c r="M15" i="2" s="1"/>
  <c r="E15" i="2"/>
  <c r="D15" i="2"/>
  <c r="AJ14" i="2"/>
  <c r="AL14" i="2" s="1"/>
  <c r="AC14" i="2"/>
  <c r="AE14" i="2" s="1"/>
  <c r="AF14" i="2" s="1"/>
  <c r="P14" i="2"/>
  <c r="L14" i="2"/>
  <c r="M14" i="2" s="1"/>
  <c r="E14" i="2"/>
  <c r="D14" i="2"/>
  <c r="AC13" i="2"/>
  <c r="P13" i="2"/>
  <c r="M13" i="2"/>
  <c r="L13" i="2"/>
  <c r="E13" i="2"/>
  <c r="D13" i="2"/>
  <c r="AC12" i="2"/>
  <c r="P12" i="2"/>
  <c r="L12" i="2"/>
  <c r="M12" i="2" s="1"/>
  <c r="E12" i="2"/>
  <c r="D12" i="2"/>
  <c r="AC11" i="2"/>
  <c r="P11" i="2"/>
  <c r="M11" i="2"/>
  <c r="L11" i="2"/>
  <c r="E11" i="2"/>
  <c r="D11" i="2"/>
  <c r="AL10" i="2"/>
  <c r="AC10" i="2"/>
  <c r="P10" i="2"/>
  <c r="L10" i="2"/>
  <c r="M10" i="2" s="1"/>
  <c r="E10" i="2"/>
  <c r="D10" i="2"/>
  <c r="AC9" i="2"/>
  <c r="P9" i="2"/>
  <c r="L9" i="2"/>
  <c r="M9" i="2" s="1"/>
  <c r="E9" i="2"/>
  <c r="D9" i="2"/>
  <c r="AF8" i="2"/>
  <c r="AE8" i="2"/>
  <c r="AC8" i="2"/>
  <c r="P8" i="2"/>
  <c r="L8" i="2"/>
  <c r="M8" i="2" s="1"/>
  <c r="E8" i="2"/>
  <c r="D8" i="2"/>
  <c r="AE7" i="2"/>
  <c r="AF7" i="2" s="1"/>
  <c r="AC7" i="2"/>
  <c r="P7" i="2"/>
  <c r="L7" i="2"/>
  <c r="M7" i="2" s="1"/>
  <c r="E7" i="2"/>
  <c r="D7" i="2"/>
  <c r="AC6" i="2"/>
  <c r="P6" i="2"/>
  <c r="L6" i="2"/>
  <c r="M6" i="2" s="1"/>
  <c r="E6" i="2"/>
  <c r="D6" i="2"/>
  <c r="AE5" i="2"/>
  <c r="AF5" i="2" s="1"/>
  <c r="AC5" i="2"/>
  <c r="P5" i="2"/>
  <c r="L5" i="2"/>
  <c r="M5" i="2" s="1"/>
  <c r="E5" i="2"/>
  <c r="D5" i="2"/>
  <c r="AL4" i="2"/>
  <c r="AC4" i="2"/>
  <c r="P4" i="2"/>
  <c r="L4" i="2"/>
  <c r="M4" i="2" s="1"/>
  <c r="E4" i="2"/>
  <c r="D4" i="2"/>
  <c r="AE3" i="2"/>
  <c r="AF3" i="2" s="1"/>
  <c r="AC3" i="2"/>
  <c r="P3" i="2"/>
  <c r="L3" i="2"/>
  <c r="M3" i="2" s="1"/>
  <c r="E3" i="2"/>
  <c r="D3" i="2"/>
  <c r="AJ2" i="2"/>
  <c r="AL2" i="2" s="1"/>
  <c r="AC2" i="2"/>
  <c r="P2" i="2"/>
  <c r="L2" i="2"/>
  <c r="M2" i="2" s="1"/>
  <c r="E2" i="2"/>
  <c r="D2" i="2"/>
  <c r="E18" i="1" l="1"/>
  <c r="C13" i="1"/>
  <c r="B83" i="1"/>
  <c r="B69" i="1"/>
  <c r="D63" i="1"/>
  <c r="B55" i="1"/>
  <c r="D49" i="1"/>
  <c r="B41" i="1"/>
  <c r="D35" i="1"/>
  <c r="B27" i="1"/>
  <c r="D21" i="1"/>
  <c r="B13" i="1"/>
  <c r="E13" i="1" s="1"/>
  <c r="C10" i="1"/>
  <c r="D7" i="1"/>
  <c r="B10" i="1"/>
  <c r="E10" i="1" s="1"/>
  <c r="C7" i="1"/>
  <c r="E7" i="1" s="1"/>
  <c r="E96" i="1"/>
  <c r="D85" i="1"/>
  <c r="E82" i="1"/>
  <c r="D71" i="1"/>
  <c r="E68" i="1"/>
  <c r="D57" i="1"/>
  <c r="E54" i="1"/>
  <c r="D43" i="1"/>
  <c r="E40" i="1"/>
  <c r="D29" i="1"/>
  <c r="E26" i="1"/>
  <c r="D15" i="1"/>
  <c r="E15" i="1" s="1"/>
  <c r="C82" i="1"/>
  <c r="D65" i="1"/>
  <c r="C12" i="1"/>
  <c r="E12" i="1" s="1"/>
  <c r="D9" i="1"/>
  <c r="B82" i="1"/>
  <c r="C9" i="1"/>
  <c r="E9" i="1" s="1"/>
  <c r="D6" i="1"/>
  <c r="C6" i="1"/>
  <c r="E6" i="1" s="1"/>
  <c r="D14" i="1"/>
  <c r="C14" i="1"/>
  <c r="E14" i="1" s="1"/>
  <c r="D11" i="1"/>
  <c r="C65" i="1"/>
  <c r="C84" i="1"/>
  <c r="C70" i="1"/>
  <c r="C56" i="1"/>
  <c r="C42" i="1"/>
  <c r="C28" i="1"/>
  <c r="D92" i="1"/>
  <c r="E89" i="1"/>
  <c r="D78" i="1"/>
  <c r="E75" i="1"/>
  <c r="D64" i="1"/>
  <c r="E61" i="1"/>
  <c r="D50" i="1"/>
  <c r="E47" i="1"/>
  <c r="B42" i="1"/>
  <c r="D36" i="1"/>
  <c r="E33" i="1"/>
  <c r="D22" i="1"/>
  <c r="E19" i="1"/>
  <c r="C11" i="1"/>
  <c r="E11" i="1" s="1"/>
  <c r="D8" i="1"/>
  <c r="D89" i="1"/>
  <c r="E86" i="1"/>
  <c r="D61" i="1"/>
  <c r="E58" i="1"/>
  <c r="C8" i="1"/>
  <c r="E8" i="1" s="1"/>
  <c r="D5" i="1"/>
  <c r="E42" i="1"/>
  <c r="D75" i="1"/>
  <c r="E72" i="1"/>
  <c r="D47" i="1"/>
  <c r="E44" i="1"/>
  <c r="C89" i="1"/>
  <c r="D86" i="1"/>
  <c r="E83" i="1"/>
  <c r="C75" i="1"/>
  <c r="D72" i="1"/>
  <c r="E69" i="1"/>
  <c r="C61" i="1"/>
  <c r="D58" i="1"/>
  <c r="E55" i="1"/>
  <c r="C47" i="1"/>
  <c r="D44" i="1"/>
  <c r="E41" i="1"/>
  <c r="C33" i="1"/>
  <c r="D30" i="1"/>
  <c r="E27" i="1"/>
  <c r="C19" i="1"/>
  <c r="D16" i="1"/>
  <c r="E16" i="1" s="1"/>
  <c r="C5" i="1"/>
  <c r="E5" i="1" s="1"/>
  <c r="D33" i="1"/>
  <c r="E30" i="1"/>
  <c r="D19" i="1"/>
  <c r="AO116" i="2"/>
  <c r="AO130" i="2"/>
  <c r="AO186" i="2"/>
  <c r="AO74" i="2"/>
  <c r="AO46" i="2"/>
  <c r="AN143" i="2"/>
  <c r="AO143" i="2" s="1"/>
  <c r="AN126" i="2"/>
  <c r="AO126" i="2" s="1"/>
  <c r="AN121" i="2"/>
  <c r="AO121" i="2" s="1"/>
  <c r="AN92" i="2"/>
  <c r="AO92" i="2" s="1"/>
  <c r="AN36" i="2"/>
  <c r="AO36" i="2" s="1"/>
  <c r="AN120" i="2"/>
  <c r="AO120" i="2" s="1"/>
  <c r="AN59" i="2"/>
  <c r="AO59" i="2" s="1"/>
  <c r="AN45" i="2"/>
  <c r="AO45" i="2" s="1"/>
  <c r="AN93" i="2"/>
  <c r="AO93" i="2" s="1"/>
  <c r="AO55" i="2"/>
  <c r="AO60" i="2"/>
  <c r="AN11" i="2"/>
  <c r="AO11" i="2" s="1"/>
  <c r="AO102" i="2"/>
  <c r="AO88" i="2"/>
  <c r="AN153" i="2"/>
  <c r="AO153" i="2" s="1"/>
  <c r="AO18" i="2"/>
  <c r="AO150" i="2"/>
  <c r="AN48" i="2"/>
  <c r="AO48" i="2" s="1"/>
  <c r="AN197" i="2"/>
  <c r="AO197" i="2" s="1"/>
  <c r="AN146" i="2"/>
  <c r="AO146" i="2" s="1"/>
  <c r="AE16" i="2"/>
  <c r="AF16" i="2" s="1"/>
  <c r="AE23" i="2"/>
  <c r="AF23" i="2"/>
  <c r="AF67" i="2"/>
  <c r="AE67" i="2"/>
  <c r="AN78" i="2"/>
  <c r="AO78" i="2" s="1"/>
  <c r="AO109" i="2"/>
  <c r="AN141" i="2"/>
  <c r="AO141" i="2" s="1"/>
  <c r="AE145" i="2"/>
  <c r="AF145" i="2" s="1"/>
  <c r="AN5" i="2"/>
  <c r="AO5" i="2" s="1"/>
  <c r="AN33" i="2"/>
  <c r="AO33" i="2" s="1"/>
  <c r="AN172" i="2"/>
  <c r="AO172" i="2" s="1"/>
  <c r="AE20" i="2"/>
  <c r="AF20" i="2"/>
  <c r="AF102" i="2"/>
  <c r="AN2" i="2"/>
  <c r="AO2" i="2" s="1"/>
  <c r="AN43" i="2"/>
  <c r="AO43" i="2" s="1"/>
  <c r="AN91" i="2"/>
  <c r="AO91" i="2" s="1"/>
  <c r="AF96" i="2"/>
  <c r="AE96" i="2"/>
  <c r="AF6" i="2"/>
  <c r="AN53" i="2"/>
  <c r="AO53" i="2" s="1"/>
  <c r="AN106" i="2"/>
  <c r="AO106" i="2" s="1"/>
  <c r="AN161" i="2"/>
  <c r="AO161" i="2" s="1"/>
  <c r="AN90" i="2"/>
  <c r="AO90" i="2" s="1"/>
  <c r="AN175" i="2"/>
  <c r="AO175" i="2" s="1"/>
  <c r="AF57" i="2"/>
  <c r="AE57" i="2"/>
  <c r="AN108" i="2"/>
  <c r="AO108" i="2" s="1"/>
  <c r="AN182" i="2"/>
  <c r="AO182" i="2" s="1"/>
  <c r="AN195" i="2"/>
  <c r="AO195" i="2" s="1"/>
  <c r="AN52" i="2"/>
  <c r="AO52" i="2" s="1"/>
  <c r="AN119" i="2"/>
  <c r="AO119" i="2" s="1"/>
  <c r="AN165" i="2"/>
  <c r="AO165" i="2" s="1"/>
  <c r="AO25" i="2"/>
  <c r="AN124" i="2"/>
  <c r="AO124" i="2" s="1"/>
  <c r="AN10" i="2"/>
  <c r="AO10" i="2" s="1"/>
  <c r="AO80" i="2"/>
  <c r="AE142" i="2"/>
  <c r="AF142" i="2" s="1"/>
  <c r="AF22" i="2"/>
  <c r="AF194" i="2"/>
  <c r="AE194" i="2"/>
  <c r="AN7" i="2"/>
  <c r="AO7" i="2" s="1"/>
  <c r="AN40" i="2"/>
  <c r="AO40" i="2" s="1"/>
  <c r="AN68" i="2"/>
  <c r="AO68" i="2" s="1"/>
  <c r="AN96" i="2"/>
  <c r="AO96" i="2" s="1"/>
  <c r="AN134" i="2"/>
  <c r="AO134" i="2" s="1"/>
  <c r="AN152" i="2"/>
  <c r="AO152" i="2" s="1"/>
  <c r="AN176" i="2"/>
  <c r="AO176" i="2" s="1"/>
  <c r="AN50" i="2"/>
  <c r="AO50" i="2" s="1"/>
  <c r="AN168" i="2"/>
  <c r="AO168" i="2" s="1"/>
  <c r="AN136" i="2"/>
  <c r="AO136" i="2" s="1"/>
  <c r="AN16" i="2"/>
  <c r="AO16" i="2" s="1"/>
  <c r="AN67" i="2"/>
  <c r="AO67" i="2" s="1"/>
  <c r="AN125" i="2"/>
  <c r="AO125" i="2" s="1"/>
  <c r="AN151" i="2"/>
  <c r="AO151" i="2" s="1"/>
  <c r="AE13" i="2"/>
  <c r="AF13" i="2" s="1"/>
  <c r="AO81" i="2"/>
  <c r="AE124" i="2"/>
  <c r="AF124" i="2" s="1"/>
  <c r="AO69" i="2"/>
  <c r="AN167" i="2"/>
  <c r="AO167" i="2" s="1"/>
  <c r="AO162" i="2"/>
  <c r="AN24" i="2"/>
  <c r="AO24" i="2" s="1"/>
  <c r="AN61" i="2"/>
  <c r="AO61" i="2" s="1"/>
  <c r="AN118" i="2"/>
  <c r="AO118" i="2" s="1"/>
  <c r="AN9" i="2"/>
  <c r="AO9" i="2" s="1"/>
  <c r="AN42" i="2"/>
  <c r="AO42" i="2" s="1"/>
  <c r="AN6" i="2"/>
  <c r="AO6" i="2" s="1"/>
  <c r="AN23" i="2"/>
  <c r="AO23" i="2" s="1"/>
  <c r="AO34" i="2"/>
  <c r="AF33" i="2"/>
  <c r="AE86" i="2"/>
  <c r="AF86" i="2" s="1"/>
  <c r="AN64" i="2"/>
  <c r="AO64" i="2" s="1"/>
  <c r="AN97" i="2"/>
  <c r="AO97" i="2" s="1"/>
  <c r="AN27" i="2"/>
  <c r="AO27" i="2" s="1"/>
  <c r="AO137" i="2"/>
  <c r="AE161" i="2"/>
  <c r="AF161" i="2"/>
  <c r="AN20" i="2"/>
  <c r="AO20" i="2" s="1"/>
  <c r="AF47" i="2"/>
  <c r="AF53" i="2"/>
  <c r="AN57" i="2"/>
  <c r="AO57" i="2" s="1"/>
  <c r="AO179" i="2"/>
  <c r="AF43" i="2"/>
  <c r="AE43" i="2"/>
  <c r="AE47" i="2"/>
  <c r="AF106" i="2"/>
  <c r="AN47" i="2"/>
  <c r="AO47" i="2" s="1"/>
  <c r="AN188" i="2"/>
  <c r="AO188" i="2" s="1"/>
  <c r="AE151" i="2"/>
  <c r="AF151" i="2" s="1"/>
  <c r="AN139" i="2"/>
  <c r="AO139" i="2" s="1"/>
  <c r="AF171" i="2"/>
  <c r="AF190" i="2"/>
  <c r="AE4" i="2"/>
  <c r="AF4" i="2" s="1"/>
  <c r="AE117" i="2"/>
  <c r="AF117" i="2" s="1"/>
  <c r="AE171" i="2"/>
  <c r="AN181" i="2"/>
  <c r="AO181" i="2" s="1"/>
  <c r="AF187" i="2"/>
  <c r="AE190" i="2"/>
  <c r="AE32" i="2"/>
  <c r="AF32" i="2" s="1"/>
  <c r="AE60" i="2"/>
  <c r="AF60" i="2" s="1"/>
  <c r="AN63" i="2"/>
  <c r="AO63" i="2" s="1"/>
  <c r="AE66" i="2"/>
  <c r="AF66" i="2" s="1"/>
  <c r="AO86" i="2"/>
  <c r="AO114" i="2"/>
  <c r="AN174" i="2"/>
  <c r="AO174" i="2" s="1"/>
  <c r="AF177" i="2"/>
  <c r="AN187" i="2"/>
  <c r="AO187" i="2" s="1"/>
  <c r="AN190" i="2"/>
  <c r="AO190" i="2" s="1"/>
  <c r="AN4" i="2"/>
  <c r="AO4" i="2" s="1"/>
  <c r="AE12" i="2"/>
  <c r="AF12" i="2" s="1"/>
  <c r="AF15" i="2"/>
  <c r="AE22" i="2"/>
  <c r="AN39" i="2"/>
  <c r="AO39" i="2" s="1"/>
  <c r="AF85" i="2"/>
  <c r="AF95" i="2"/>
  <c r="AF110" i="2"/>
  <c r="AF113" i="2"/>
  <c r="AF123" i="2"/>
  <c r="AN178" i="2"/>
  <c r="AO178" i="2" s="1"/>
  <c r="AN184" i="2"/>
  <c r="AO184" i="2" s="1"/>
  <c r="AO200" i="2"/>
  <c r="AN12" i="2"/>
  <c r="AO12" i="2" s="1"/>
  <c r="AN32" i="2"/>
  <c r="AO32" i="2" s="1"/>
  <c r="AF35" i="2"/>
  <c r="AF46" i="2"/>
  <c r="AN75" i="2"/>
  <c r="AO75" i="2" s="1"/>
  <c r="AE95" i="2"/>
  <c r="AN103" i="2"/>
  <c r="AO103" i="2" s="1"/>
  <c r="AE123" i="2"/>
  <c r="AN131" i="2"/>
  <c r="AO131" i="2" s="1"/>
  <c r="AE150" i="2"/>
  <c r="AF150" i="2" s="1"/>
  <c r="AO154" i="2"/>
  <c r="AN157" i="2"/>
  <c r="AO157" i="2" s="1"/>
  <c r="AN160" i="2"/>
  <c r="AO160" i="2" s="1"/>
  <c r="AF163" i="2"/>
  <c r="AE166" i="2"/>
  <c r="AF166" i="2" s="1"/>
  <c r="AN85" i="2"/>
  <c r="AO85" i="2" s="1"/>
  <c r="AN95" i="2"/>
  <c r="AO95" i="2" s="1"/>
  <c r="AN113" i="2"/>
  <c r="AO113" i="2" s="1"/>
  <c r="AN123" i="2"/>
  <c r="AO123" i="2" s="1"/>
  <c r="AO147" i="2"/>
  <c r="AE176" i="2"/>
  <c r="AF176" i="2" s="1"/>
  <c r="AF199" i="2"/>
  <c r="AN111" i="2"/>
  <c r="AO111" i="2" s="1"/>
  <c r="AN142" i="2"/>
  <c r="AO142" i="2" s="1"/>
  <c r="AO191" i="2"/>
  <c r="AF39" i="2"/>
  <c r="AN79" i="2"/>
  <c r="AO79" i="2" s="1"/>
  <c r="AN28" i="2"/>
  <c r="AO28" i="2" s="1"/>
  <c r="AE49" i="2"/>
  <c r="AF49" i="2" s="1"/>
  <c r="AN51" i="2"/>
  <c r="AO51" i="2" s="1"/>
  <c r="AF58" i="2"/>
  <c r="AE65" i="2"/>
  <c r="AF65" i="2" s="1"/>
  <c r="AE74" i="2"/>
  <c r="AF74" i="2" s="1"/>
  <c r="AE77" i="2"/>
  <c r="AF77" i="2"/>
  <c r="AE102" i="2"/>
  <c r="AE105" i="2"/>
  <c r="AF105" i="2"/>
  <c r="AF116" i="2"/>
  <c r="AE133" i="2"/>
  <c r="AF133" i="2"/>
  <c r="AF156" i="2"/>
  <c r="AE156" i="2"/>
  <c r="AN166" i="2"/>
  <c r="AO166" i="2" s="1"/>
  <c r="AN180" i="2"/>
  <c r="AO180" i="2" s="1"/>
  <c r="AN13" i="2"/>
  <c r="AO13" i="2" s="1"/>
  <c r="AO37" i="2"/>
  <c r="AN44" i="2"/>
  <c r="AO44" i="2" s="1"/>
  <c r="AN83" i="2"/>
  <c r="AO83" i="2" s="1"/>
  <c r="AO107" i="2"/>
  <c r="AF134" i="2"/>
  <c r="AO29" i="2"/>
  <c r="AE78" i="2"/>
  <c r="AF78" i="2" s="1"/>
  <c r="AE89" i="2"/>
  <c r="AF89" i="2"/>
  <c r="AE106" i="2"/>
  <c r="AE134" i="2"/>
  <c r="AN148" i="2"/>
  <c r="AO148" i="2" s="1"/>
  <c r="AF157" i="2"/>
  <c r="AE39" i="2"/>
  <c r="AN56" i="2"/>
  <c r="AO56" i="2" s="1"/>
  <c r="AN3" i="2"/>
  <c r="AO3" i="2" s="1"/>
  <c r="AN62" i="2"/>
  <c r="AO62" i="2" s="1"/>
  <c r="AN77" i="2"/>
  <c r="AO77" i="2" s="1"/>
  <c r="AN105" i="2"/>
  <c r="AO105" i="2" s="1"/>
  <c r="AN133" i="2"/>
  <c r="AO133" i="2" s="1"/>
  <c r="AN163" i="2"/>
  <c r="AO163" i="2" s="1"/>
  <c r="AN173" i="2"/>
  <c r="AO173" i="2" s="1"/>
  <c r="AN183" i="2"/>
  <c r="AO183" i="2" s="1"/>
  <c r="AN196" i="2"/>
  <c r="AO196" i="2" s="1"/>
  <c r="AN8" i="2"/>
  <c r="AO8" i="2" s="1"/>
  <c r="AE21" i="2"/>
  <c r="AF21" i="2" s="1"/>
  <c r="AN35" i="2"/>
  <c r="AO35" i="2" s="1"/>
  <c r="AF38" i="2"/>
  <c r="AE38" i="2"/>
  <c r="AE58" i="2"/>
  <c r="AE6" i="2"/>
  <c r="AE25" i="2"/>
  <c r="AF25" i="2" s="1"/>
  <c r="AE30" i="2"/>
  <c r="AF30" i="2" s="1"/>
  <c r="AN38" i="2"/>
  <c r="AO38" i="2" s="1"/>
  <c r="AN65" i="2"/>
  <c r="AO65" i="2" s="1"/>
  <c r="AE149" i="2"/>
  <c r="AF149" i="2" s="1"/>
  <c r="AN156" i="2"/>
  <c r="AO156" i="2" s="1"/>
  <c r="AN14" i="2"/>
  <c r="AO14" i="2" s="1"/>
  <c r="AN41" i="2"/>
  <c r="AO41" i="2" s="1"/>
  <c r="AF73" i="2"/>
  <c r="AF94" i="2"/>
  <c r="AF101" i="2"/>
  <c r="AF122" i="2"/>
  <c r="AF129" i="2"/>
  <c r="AF114" i="2"/>
  <c r="AE114" i="2"/>
  <c r="AO158" i="2"/>
  <c r="AF63" i="2"/>
  <c r="AO135" i="2"/>
  <c r="AN15" i="2"/>
  <c r="AO15" i="2" s="1"/>
  <c r="AN19" i="2"/>
  <c r="AO19" i="2" s="1"/>
  <c r="AN22" i="2"/>
  <c r="AO22" i="2" s="1"/>
  <c r="AN66" i="2"/>
  <c r="AO66" i="2" s="1"/>
  <c r="AN21" i="2"/>
  <c r="AO21" i="2" s="1"/>
  <c r="AN140" i="2"/>
  <c r="AO140" i="2" s="1"/>
  <c r="AE2" i="2"/>
  <c r="AF2" i="2" s="1"/>
  <c r="AN58" i="2"/>
  <c r="AO58" i="2" s="1"/>
  <c r="AE73" i="2"/>
  <c r="AN84" i="2"/>
  <c r="AO84" i="2" s="1"/>
  <c r="AE101" i="2"/>
  <c r="AN112" i="2"/>
  <c r="AO112" i="2" s="1"/>
  <c r="AE129" i="2"/>
  <c r="AE165" i="2"/>
  <c r="AF165" i="2" s="1"/>
  <c r="AF175" i="2"/>
  <c r="AF179" i="2"/>
  <c r="AO192" i="2"/>
  <c r="AN145" i="2"/>
  <c r="AO145" i="2" s="1"/>
  <c r="AF155" i="2"/>
  <c r="AF72" i="2"/>
  <c r="AE72" i="2"/>
  <c r="AE94" i="2"/>
  <c r="AE100" i="2"/>
  <c r="AF100" i="2" s="1"/>
  <c r="AE122" i="2"/>
  <c r="AE128" i="2"/>
  <c r="AF128" i="2" s="1"/>
  <c r="AE144" i="2"/>
  <c r="AF144" i="2" s="1"/>
  <c r="AF148" i="2"/>
  <c r="AE170" i="2"/>
  <c r="AF170" i="2" s="1"/>
  <c r="AN171" i="2"/>
  <c r="AO171" i="2" s="1"/>
  <c r="AF189" i="2"/>
  <c r="AF198" i="2"/>
  <c r="AE198" i="2"/>
  <c r="AE121" i="2"/>
  <c r="AF121" i="2" s="1"/>
  <c r="AE11" i="2"/>
  <c r="AF11" i="2" s="1"/>
  <c r="AE29" i="2"/>
  <c r="AF29" i="2" s="1"/>
  <c r="AE36" i="2"/>
  <c r="AF36" i="2" s="1"/>
  <c r="AF37" i="2"/>
  <c r="AE46" i="2"/>
  <c r="AE54" i="2"/>
  <c r="AF54" i="2" s="1"/>
  <c r="AF62" i="2"/>
  <c r="AE82" i="2"/>
  <c r="AF82" i="2" s="1"/>
  <c r="AE88" i="2"/>
  <c r="AF88" i="2" s="1"/>
  <c r="AF92" i="2"/>
  <c r="AF93" i="2"/>
  <c r="AE110" i="2"/>
  <c r="AE116" i="2"/>
  <c r="AE138" i="2"/>
  <c r="AF138" i="2" s="1"/>
  <c r="AN155" i="2"/>
  <c r="AO155" i="2" s="1"/>
  <c r="AE164" i="2"/>
  <c r="AF164" i="2" s="1"/>
  <c r="AE193" i="2"/>
  <c r="AF193" i="2" s="1"/>
  <c r="AO194" i="2"/>
  <c r="C4" i="1"/>
  <c r="AE10" i="2"/>
  <c r="AF10" i="2" s="1"/>
  <c r="AE19" i="2"/>
  <c r="AF19" i="2" s="1"/>
  <c r="AN30" i="2"/>
  <c r="AO30" i="2" s="1"/>
  <c r="AE35" i="2"/>
  <c r="AE45" i="2"/>
  <c r="AF45" i="2" s="1"/>
  <c r="AF71" i="2"/>
  <c r="AN72" i="2"/>
  <c r="AO72" i="2" s="1"/>
  <c r="AE92" i="2"/>
  <c r="AN94" i="2"/>
  <c r="AO94" i="2" s="1"/>
  <c r="AF99" i="2"/>
  <c r="AN100" i="2"/>
  <c r="AO100" i="2" s="1"/>
  <c r="AE120" i="2"/>
  <c r="AF120" i="2" s="1"/>
  <c r="AN122" i="2"/>
  <c r="AO122" i="2" s="1"/>
  <c r="AF127" i="2"/>
  <c r="AN128" i="2"/>
  <c r="AO128" i="2" s="1"/>
  <c r="AF143" i="2"/>
  <c r="AO144" i="2"/>
  <c r="AN149" i="2"/>
  <c r="AO149" i="2" s="1"/>
  <c r="AN159" i="2"/>
  <c r="AO159" i="2" s="1"/>
  <c r="AE163" i="2"/>
  <c r="AN170" i="2"/>
  <c r="AO170" i="2" s="1"/>
  <c r="AE179" i="2"/>
  <c r="AN189" i="2"/>
  <c r="AO189" i="2" s="1"/>
  <c r="AN198" i="2"/>
  <c r="AO198" i="2" s="1"/>
  <c r="AN117" i="2"/>
  <c r="AO117" i="2" s="1"/>
  <c r="AF185" i="2"/>
  <c r="D4" i="1"/>
  <c r="AE9" i="2"/>
  <c r="AF9" i="2" s="1"/>
  <c r="AF44" i="2"/>
  <c r="AE53" i="2"/>
  <c r="AF87" i="2"/>
  <c r="AF115" i="2"/>
  <c r="AE143" i="2"/>
  <c r="AF147" i="2"/>
  <c r="AE158" i="2"/>
  <c r="AF158" i="2" s="1"/>
  <c r="AF162" i="2"/>
  <c r="AE184" i="2"/>
  <c r="AF184" i="2" s="1"/>
  <c r="AN185" i="2"/>
  <c r="AO185" i="2" s="1"/>
  <c r="AN89" i="2"/>
  <c r="AO89" i="2" s="1"/>
  <c r="B4" i="1"/>
  <c r="AN76" i="2"/>
  <c r="AO76" i="2" s="1"/>
  <c r="AO82" i="2"/>
  <c r="AN104" i="2"/>
  <c r="AO104" i="2" s="1"/>
  <c r="AO110" i="2"/>
  <c r="AN132" i="2"/>
  <c r="AO132" i="2" s="1"/>
  <c r="AO138" i="2"/>
  <c r="AN193" i="2"/>
  <c r="AO193" i="2" s="1"/>
  <c r="AF197" i="2"/>
  <c r="AN201" i="2"/>
  <c r="AO201" i="2" s="1"/>
  <c r="AE71" i="2"/>
  <c r="AE85" i="2"/>
  <c r="AE99" i="2"/>
  <c r="AE113" i="2"/>
  <c r="AE127" i="2"/>
  <c r="AE141" i="2"/>
  <c r="AF141" i="2" s="1"/>
  <c r="AE155" i="2"/>
  <c r="AE169" i="2"/>
  <c r="AF169" i="2" s="1"/>
  <c r="AE183" i="2"/>
  <c r="AF183" i="2" s="1"/>
  <c r="AE197" i="2"/>
  <c r="E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<sst xmlns="http://schemas.openxmlformats.org/spreadsheetml/2006/main" count="1413" uniqueCount="1329">
  <si>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</si>
  <si>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</si>
  <si>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</si>
  <si>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</si>
  <si>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</si>
  <si>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</si>
  <si>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</si>
  <si>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</si>
  <si>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</si>
  <si>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</si>
  <si>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</si>
  <si>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</si>
  <si>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</si>
  <si>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</si>
  <si>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</si>
  <si>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</si>
  <si>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</si>
  <si>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Voorschot GWE (Auto)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</si>
  <si>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</si>
  <si>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</si>
  <si>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</si>
  <si>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</si>
  <si>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</si>
  <si>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</si>
  <si>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</si>
  <si>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</si>
  <si>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</si>
  <si>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</si>
  <si>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</si>
  <si>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</si>
  <si>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</si>
  <si>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</si>
  <si>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</si>
  <si>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</si>
  <si>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</si>
  <si>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</si>
  <si>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</si>
  <si>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</si>
  <si>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</si>
  <si>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</si>
  <si>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</si>
  <si>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</si>
  <si>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</si>
  <si>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</si>
  <si>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</si>
  <si>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</si>
  <si>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</si>
  <si>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</si>
  <si>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</si>
  <si>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1e Middellandstraat 104A</t>
  </si>
  <si>
    <t>0388</t>
  </si>
  <si>
    <t>'t Werkt B.V.</t>
  </si>
  <si>
    <t xml:space="preserve">
C. van Winsen</t>
  </si>
  <si>
    <t>2e Maasbosstraat 2 a</t>
  </si>
  <si>
    <t>0148</t>
  </si>
  <si>
    <t>24/7 drive</t>
  </si>
  <si>
    <t>4 Homes</t>
  </si>
  <si>
    <t>2e Maasbosstraat 2 b</t>
  </si>
  <si>
    <t>0149</t>
  </si>
  <si>
    <t>4 Homes B.V.</t>
  </si>
  <si>
    <t>A. Brouwers &amp; S. Brouwers- van Weert</t>
  </si>
  <si>
    <t>2e Maasbosstraat 2 c</t>
  </si>
  <si>
    <t>0150</t>
  </si>
  <si>
    <t>A. Ghali</t>
  </si>
  <si>
    <t>2e van Leydengaelstraat 6</t>
  </si>
  <si>
    <t>0022</t>
  </si>
  <si>
    <t>A. Blaszcak</t>
  </si>
  <si>
    <t>A.H.S. Willemsen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</si>
  <si>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</si>
  <si>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</si>
  <si>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</si>
  <si>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</si>
  <si>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</si>
  <si>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</si>
  <si>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</si>
  <si>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</si>
  <si>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</si>
  <si>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</si>
  <si>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</si>
  <si>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</si>
  <si>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</si>
  <si>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</si>
  <si>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</si>
  <si>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</si>
  <si>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</si>
  <si>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</si>
  <si>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</si>
  <si>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</si>
  <si>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</si>
  <si>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</si>
  <si>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</si>
  <si>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</si>
  <si>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</si>
  <si>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</si>
  <si>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</si>
  <si>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</si>
  <si>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</si>
  <si>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</si>
  <si>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</si>
  <si>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</si>
  <si>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</si>
  <si>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</si>
  <si>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</si>
  <si>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</si>
  <si>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</si>
  <si>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</si>
  <si>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</si>
  <si>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</si>
  <si>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</si>
  <si>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</si>
  <si>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</si>
  <si>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</si>
  <si>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</si>
  <si>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</si>
  <si>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</si>
  <si>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</si>
  <si>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</si>
  <si>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</si>
  <si>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</si>
  <si>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</si>
  <si>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</si>
  <si>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</si>
  <si>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</si>
  <si>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</si>
  <si>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</si>
  <si>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</si>
  <si>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</si>
  <si>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</si>
  <si>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</si>
  <si>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</si>
  <si>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</si>
  <si>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</si>
  <si>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</si>
  <si>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</si>
  <si>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</si>
  <si>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</si>
  <si>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</si>
  <si>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</si>
  <si>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</si>
  <si>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</si>
  <si>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</si>
  <si>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</si>
  <si>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</si>
  <si>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</si>
  <si>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</si>
  <si>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</si>
  <si>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</si>
  <si>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</si>
  <si>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</si>
  <si>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</si>
  <si>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</si>
  <si>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</si>
  <si>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</si>
  <si>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</si>
  <si>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</si>
  <si>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</si>
  <si>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</si>
  <si>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</si>
  <si>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</si>
  <si>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</si>
  <si>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</si>
  <si>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</si>
  <si>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</si>
  <si>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</si>
  <si>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</si>
  <si>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</si>
  <si>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</si>
  <si>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</si>
  <si>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</si>
  <si>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</si>
  <si>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</si>
  <si>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</si>
  <si>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</si>
  <si>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</si>
  <si>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</si>
  <si>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</si>
  <si>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</si>
  <si>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</si>
  <si>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</si>
  <si>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</si>
  <si>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</si>
  <si>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</si>
  <si>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</si>
  <si>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</si>
  <si>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</si>
  <si>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</si>
  <si>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</si>
  <si>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</si>
  <si>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</si>
  <si>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</si>
  <si>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</si>
  <si>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</si>
  <si>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</si>
  <si>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</si>
  <si>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</si>
  <si>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</si>
  <si>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</si>
  <si>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</si>
  <si>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</si>
  <si>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</si>
  <si>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</si>
  <si>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</si>
  <si>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</si>
  <si>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</si>
  <si>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</si>
  <si>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</si>
  <si>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</si>
  <si>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</si>
  <si>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</si>
  <si>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</si>
  <si>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</si>
  <si>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</si>
  <si>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</si>
  <si>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</si>
  <si>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</si>
  <si>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</si>
  <si>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</si>
  <si>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</si>
  <si>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</si>
  <si>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</si>
  <si>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</si>
  <si>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</si>
  <si>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</si>
  <si>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</si>
  <si>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</si>
  <si>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</si>
  <si>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</si>
  <si>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</si>
  <si>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</si>
  <si>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</si>
  <si>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</si>
  <si>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</si>
  <si>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</si>
  <si>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</si>
  <si>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</si>
  <si>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</si>
  <si>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</si>
  <si>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</si>
  <si>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</si>
  <si>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</si>
  <si>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</si>
  <si>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</si>
  <si>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</si>
  <si>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</si>
  <si>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</si>
  <si>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</si>
  <si>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</si>
  <si>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</si>
  <si>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</si>
  <si>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</si>
  <si>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</si>
  <si>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</si>
  <si>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</si>
  <si>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</si>
  <si>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</si>
  <si>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</si>
  <si>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</si>
  <si>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</si>
  <si>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</si>
  <si>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</si>
  <si>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</si>
  <si>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</si>
  <si>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</si>
  <si>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</si>
  <si>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</si>
  <si>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</si>
  <si>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</si>
  <si>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</si>
  <si>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</si>
  <si>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</si>
  <si>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</si>
  <si>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</si>
  <si>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</si>
  <si>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</si>
  <si>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</si>
  <si>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</si>
  <si>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</si>
  <si>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</si>
  <si>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</si>
  <si>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</si>
  <si>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</si>
  <si>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</si>
  <si>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</si>
  <si>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</si>
  <si>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</si>
  <si>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</si>
  <si>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</si>
  <si>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</si>
  <si>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</si>
  <si>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</si>
  <si>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</si>
  <si>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</si>
  <si>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</si>
  <si>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</si>
  <si>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</si>
  <si>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</si>
  <si>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</si>
  <si>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</si>
  <si>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</si>
  <si>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</si>
  <si>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</si>
  <si>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</si>
  <si>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</si>
  <si>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</si>
  <si>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</si>
  <si>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</si>
  <si>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</si>
  <si>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</si>
  <si>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</si>
  <si>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</si>
  <si>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</si>
  <si>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</si>
  <si>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</si>
  <si>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</si>
  <si>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</si>
  <si>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</si>
  <si>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</si>
  <si>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</si>
  <si>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</si>
  <si>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</si>
  <si>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</si>
  <si>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</si>
  <si>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</si>
  <si>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</si>
  <si>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</si>
  <si>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</si>
  <si>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</si>
  <si>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</si>
  <si>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</si>
  <si>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</si>
  <si>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</si>
  <si>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</si>
  <si>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</si>
  <si>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</si>
  <si>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</si>
  <si>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</si>
  <si>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</si>
  <si>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</si>
  <si>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</si>
  <si>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</si>
  <si>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</si>
  <si>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</si>
  <si>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</si>
  <si>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</si>
  <si>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</si>
  <si>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</si>
  <si>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</si>
  <si>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</si>
  <si>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</si>
  <si>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</si>
  <si>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</si>
  <si>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</si>
  <si>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</si>
  <si>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</si>
  <si>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</si>
  <si>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</si>
  <si>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</si>
  <si>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</si>
  <si>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</si>
  <si>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</si>
  <si>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</si>
  <si>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</si>
  <si>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</si>
  <si>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</si>
  <si>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</si>
  <si>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</si>
  <si>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</si>
  <si>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</si>
  <si>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</si>
  <si>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</si>
  <si>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</si>
  <si>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</si>
  <si>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</si>
  <si>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</si>
  <si>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</si>
  <si>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</si>
  <si>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</si>
  <si>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</si>
  <si>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</si>
  <si>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</si>
  <si>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</si>
  <si>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</si>
  <si>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</si>
  <si>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</si>
  <si>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</si>
  <si>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</si>
  <si>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</si>
  <si>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</si>
  <si>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</si>
  <si>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</si>
  <si>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</si>
  <si>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</si>
  <si>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</si>
  <si>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</si>
  <si>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</si>
  <si>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</si>
  <si>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</si>
  <si>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</si>
  <si>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</si>
  <si>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</si>
  <si>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</si>
  <si>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</si>
  <si>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</si>
  <si>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</si>
  <si>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</si>
  <si>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</si>
  <si>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</si>
  <si>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</si>
  <si>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</si>
  <si>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</si>
  <si>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</si>
  <si>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</si>
  <si>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</si>
  <si>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</si>
  <si>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</si>
  <si>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</si>
  <si>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</si>
  <si>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</si>
  <si>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</si>
  <si>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</si>
  <si>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</si>
  <si>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</si>
  <si>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</si>
  <si>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</si>
  <si>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</si>
  <si>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</si>
  <si>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</si>
  <si>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</si>
  <si>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</si>
  <si>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</si>
  <si>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</si>
  <si>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</si>
  <si>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</si>
  <si>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</si>
  <si>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</si>
  <si>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</si>
  <si>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</si>
  <si>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</si>
  <si>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</si>
  <si>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</si>
  <si>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</si>
  <si>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</si>
  <si>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</si>
  <si>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</si>
  <si>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</si>
  <si>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</si>
  <si>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</si>
  <si>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</si>
  <si>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</si>
  <si>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</si>
  <si>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</si>
  <si>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</si>
  <si>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</si>
  <si>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</si>
  <si>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</si>
  <si>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</si>
  <si>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</si>
  <si>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</si>
  <si>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</si>
  <si>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</si>
  <si>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</si>
  <si>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</si>
  <si>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</si>
  <si>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</si>
  <si>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</si>
  <si>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</si>
  <si>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</si>
  <si>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</si>
  <si>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</si>
  <si>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</si>
  <si>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</si>
  <si>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</si>
  <si>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</si>
  <si>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</si>
  <si>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</si>
  <si>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</si>
  <si>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</si>
  <si>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</si>
  <si>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</si>
  <si>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</si>
  <si>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</si>
  <si>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</si>
  <si>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</si>
  <si>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</si>
  <si>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</si>
  <si>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</si>
  <si>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</si>
  <si>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</si>
  <si>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</si>
  <si>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</si>
  <si>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</si>
  <si>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</si>
  <si>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</si>
  <si>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</si>
  <si>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</si>
  <si>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</si>
  <si>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</si>
  <si>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</si>
  <si>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</si>
  <si>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</si>
  <si>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</si>
  <si>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</si>
  <si>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</si>
  <si>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</si>
  <si>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</si>
  <si>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</si>
  <si>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</si>
  <si>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</si>
  <si>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</si>
  <si>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</si>
  <si>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</si>
  <si>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</si>
  <si>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</si>
  <si>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</si>
  <si>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</si>
  <si>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</si>
  <si>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</si>
  <si>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</si>
  <si>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</si>
  <si>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</si>
  <si>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</si>
  <si>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</si>
  <si>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</si>
  <si>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</si>
  <si>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</si>
  <si>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</si>
  <si>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</si>
  <si>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</si>
  <si>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</si>
  <si>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</si>
  <si>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</si>
  <si>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</si>
  <si>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</si>
  <si>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</si>
  <si>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</si>
  <si>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</si>
  <si>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</si>
  <si>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</si>
  <si>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</si>
  <si>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</si>
  <si>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</si>
  <si>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</si>
  <si>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</si>
  <si>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</si>
  <si>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</si>
  <si>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</si>
  <si>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</si>
  <si>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</si>
  <si>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</si>
  <si>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</si>
  <si>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</si>
  <si>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</si>
  <si>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</si>
  <si>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</si>
  <si>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</si>
  <si>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</si>
  <si>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</si>
  <si>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</si>
  <si>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</si>
  <si>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</si>
  <si>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</si>
  <si>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</si>
  <si>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</si>
  <si>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</si>
  <si>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</si>
  <si>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</si>
  <si>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</si>
  <si>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</si>
  <si>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</si>
  <si>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</si>
  <si>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</si>
  <si>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</si>
  <si>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</si>
  <si>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</si>
  <si>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</si>
  <si>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</si>
  <si>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</si>
  <si>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</si>
  <si>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</si>
  <si>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</si>
  <si>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</si>
  <si>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</si>
  <si>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</si>
  <si>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</si>
  <si>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</si>
  <si>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</si>
  <si>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</si>
  <si>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</si>
  <si>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</si>
  <si>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</si>
  <si>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</si>
  <si>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</si>
  <si>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</si>
  <si>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</si>
  <si>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</si>
  <si>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</si>
  <si>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</si>
  <si>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</si>
  <si>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</si>
  <si>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</si>
  <si>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</si>
  <si>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</si>
  <si>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</si>
  <si>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</si>
  <si>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</si>
  <si>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</si>
  <si>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</si>
  <si>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</si>
  <si>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</si>
  <si>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</si>
  <si>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</si>
  <si>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</si>
  <si>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</si>
  <si>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</si>
  <si>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</si>
  <si>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</si>
  <si>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</si>
  <si>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</si>
  <si>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</si>
  <si>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</si>
  <si>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</si>
  <si>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</si>
  <si>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</si>
  <si>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</si>
  <si>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</si>
  <si>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</si>
  <si>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</si>
  <si>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</si>
  <si>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</si>
  <si>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</si>
  <si>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</si>
  <si>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</si>
  <si>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</si>
  <si>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</si>
  <si>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</si>
  <si>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</si>
  <si>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</si>
  <si>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</si>
  <si>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</si>
  <si>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</si>
  <si>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</si>
  <si>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</si>
  <si>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</si>
  <si>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</si>
  <si>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</si>
  <si>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</si>
  <si>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</si>
  <si>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</si>
  <si>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</si>
  <si>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</si>
  <si>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</si>
  <si>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</si>
  <si>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</si>
  <si>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</si>
  <si>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</si>
  <si>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</si>
  <si>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</si>
  <si>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</si>
  <si>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</si>
  <si>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</si>
  <si>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</si>
  <si>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</si>
  <si>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</si>
  <si>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</si>
  <si>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</si>
  <si>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</si>
  <si>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</si>
  <si>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</si>
  <si>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</si>
  <si>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</si>
  <si>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</si>
  <si>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</si>
  <si>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</si>
  <si>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</si>
  <si>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</si>
  <si>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</si>
  <si>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</si>
  <si>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</si>
  <si>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</si>
  <si>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</si>
  <si>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</si>
  <si>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</si>
  <si>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</si>
  <si>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</si>
  <si>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</si>
  <si>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</si>
  <si>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</si>
  <si>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</si>
  <si>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</si>
  <si>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</si>
  <si>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</si>
  <si>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</si>
  <si>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</si>
  <si>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</si>
  <si>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</si>
  <si>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</si>
  <si>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</si>
  <si>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</si>
  <si>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</si>
  <si>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</si>
  <si>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</si>
  <si>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</si>
  <si>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</si>
  <si>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</si>
  <si>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</si>
  <si>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</si>
  <si>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</si>
  <si>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</si>
  <si>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</si>
  <si>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</si>
  <si>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</si>
  <si>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</si>
  <si>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</si>
  <si>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</si>
  <si>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</si>
  <si>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</si>
  <si>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</si>
  <si>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</si>
  <si>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</si>
  <si>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</si>
  <si>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</si>
  <si>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</si>
  <si>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</si>
  <si>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</si>
  <si>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</si>
  <si>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</si>
  <si>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</si>
  <si>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</si>
  <si>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</si>
  <si>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</si>
  <si>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</si>
  <si>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</si>
  <si>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</si>
  <si>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</si>
  <si>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</si>
  <si>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</si>
  <si>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</si>
  <si>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</si>
  <si>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</si>
  <si>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</si>
  <si>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</si>
  <si>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</si>
  <si>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</si>
  <si>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</si>
  <si>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</si>
  <si>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</si>
  <si>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</si>
  <si>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</si>
  <si>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</si>
  <si>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</si>
  <si>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</si>
  <si>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</si>
  <si>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</si>
  <si>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</si>
  <si>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</si>
  <si>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</si>
  <si>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</si>
  <si>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</si>
  <si>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</si>
  <si>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</si>
  <si>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</si>
  <si>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</si>
  <si>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</si>
  <si>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</si>
  <si>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</si>
  <si>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</si>
  <si>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</si>
  <si>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</si>
  <si>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</si>
  <si>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</si>
  <si>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</si>
  <si>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</si>
  <si>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</si>
  <si>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</si>
  <si>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</si>
  <si>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</si>
  <si>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</si>
  <si>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</si>
  <si>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</si>
  <si>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</si>
  <si>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</si>
  <si>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</si>
  <si>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</si>
  <si>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</si>
  <si>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</si>
  <si>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</si>
  <si>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</si>
  <si>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</si>
  <si>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</si>
  <si>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</si>
  <si>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</si>
  <si>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</si>
  <si>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</si>
  <si>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</si>
  <si>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</si>
  <si>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</si>
  <si>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</si>
  <si>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</si>
  <si>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</si>
  <si>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</si>
  <si>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</si>
  <si>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</si>
  <si>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</si>
  <si>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</si>
  <si>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</si>
  <si>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</si>
  <si>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</si>
  <si>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</si>
  <si>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</si>
  <si>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</si>
  <si>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</si>
  <si>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</si>
  <si>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</si>
  <si>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</si>
  <si>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</si>
  <si>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</si>
  <si>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</si>
  <si>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</si>
  <si>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</si>
  <si>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</si>
  <si>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</si>
  <si>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</si>
  <si>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</si>
  <si>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</si>
  <si>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</si>
  <si>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</si>
  <si>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</si>
  <si>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</si>
  <si>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</si>
  <si>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</si>
  <si>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</si>
  <si>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</si>
  <si>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</si>
  <si>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</si>
  <si>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</si>
  <si>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</si>
  <si>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</si>
  <si>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</si>
  <si>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</si>
  <si>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</si>
  <si>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</si>
  <si>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</si>
  <si>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</si>
  <si>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</si>
  <si>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</si>
  <si>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</si>
  <si>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</si>
  <si>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</si>
  <si>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</si>
  <si>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</si>
  <si>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</si>
  <si>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</si>
  <si>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</si>
  <si>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</si>
  <si>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</si>
  <si>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</si>
  <si>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</si>
  <si>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</si>
  <si>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</si>
  <si>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</si>
  <si>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</si>
  <si>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</si>
  <si>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</si>
  <si>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</si>
  <si>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</si>
  <si>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</si>
  <si>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</si>
  <si>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</si>
  <si>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</si>
  <si>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</si>
  <si>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</si>
  <si>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</si>
  <si>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</si>
  <si>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</si>
  <si>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</si>
  <si>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</si>
  <si>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</si>
  <si>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</si>
  <si>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</si>
  <si>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</si>
  <si>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</si>
  <si>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</si>
  <si>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</si>
  <si>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</si>
  <si>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</si>
  <si>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</si>
  <si>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</si>
  <si>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</si>
  <si>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</si>
  <si>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</si>
  <si>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</si>
  <si>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</si>
  <si>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</si>
  <si>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</si>
  <si>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</si>
  <si>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</si>
  <si>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</si>
  <si>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</si>
  <si>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</si>
  <si>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</si>
  <si>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</si>
  <si>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</si>
  <si>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</si>
  <si>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</si>
  <si>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</si>
  <si>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</si>
  <si>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</si>
  <si>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</si>
  <si>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</si>
  <si>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</si>
  <si>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</si>
  <si>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</si>
  <si>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</si>
  <si>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</si>
  <si>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</si>
  <si>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</si>
  <si>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</si>
  <si>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</si>
  <si>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</si>
  <si>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</si>
  <si>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</si>
  <si>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</si>
  <si>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</si>
  <si>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</si>
  <si>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</si>
  <si>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</si>
  <si>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</si>
  <si>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</si>
  <si>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</si>
  <si>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</si>
  <si>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</si>
  <si>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</si>
  <si>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</si>
  <si>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</si>
  <si>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</si>
  <si>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</si>
  <si>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</si>
  <si>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</si>
  <si>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</si>
  <si>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</si>
  <si>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</si>
  <si>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</si>
  <si>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</si>
  <si>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</si>
  <si>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</si>
  <si>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</si>
  <si>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</si>
  <si>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</si>
  <si>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</si>
  <si>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</si>
  <si>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</si>
  <si>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</si>
  <si>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</si>
  <si>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</si>
  <si>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</si>
  <si>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</si>
  <si>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</si>
  <si>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</si>
  <si>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</si>
  <si>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</si>
  <si>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</si>
  <si>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</si>
  <si>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</si>
  <si>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</si>
  <si>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</si>
  <si>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</si>
  <si>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</si>
  <si>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</si>
  <si>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</si>
  <si>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</si>
  <si>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</si>
  <si>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</si>
  <si>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</si>
  <si>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</si>
  <si>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</si>
  <si>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</si>
  <si>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</si>
  <si>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</si>
  <si>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</si>
  <si>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</si>
  <si>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</si>
  <si>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</si>
  <si>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</si>
  <si>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</si>
  <si>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</si>
  <si>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</si>
  <si>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</si>
  <si>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</si>
  <si>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</si>
  <si>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</si>
  <si>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</si>
  <si>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</si>
  <si>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</si>
  <si>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</si>
  <si>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</si>
  <si>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</si>
  <si>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</si>
  <si>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</si>
  <si>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</si>
  <si>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</si>
  <si>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</si>
  <si>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</si>
  <si>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</si>
  <si>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</si>
  <si>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</si>
  <si>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</si>
  <si>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</si>
  <si>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</si>
  <si>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</si>
  <si>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</si>
  <si>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</si>
  <si>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</si>
  <si>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</si>
  <si>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</si>
  <si>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</si>
  <si>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</si>
  <si>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</si>
  <si>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</si>
  <si>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</si>
  <si>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</si>
  <si>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</si>
  <si>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</si>
  <si>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</si>
  <si>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</si>
  <si>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</si>
  <si>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</si>
  <si>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</si>
  <si>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</si>
  <si>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</si>
  <si>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</si>
  <si>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</si>
  <si>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</si>
  <si>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</si>
  <si>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</si>
  <si>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</si>
  <si>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</si>
  <si>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</si>
  <si>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</si>
  <si>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</si>
  <si>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</si>
  <si>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</si>
  <si>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</si>
  <si>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</si>
  <si>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</si>
  <si>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</si>
  <si>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</si>
  <si>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</si>
  <si>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</si>
  <si>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</si>
  <si>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</si>
  <si>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</si>
  <si>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</si>
  <si>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</si>
  <si>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</si>
  <si>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</si>
  <si>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</si>
  <si>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</si>
  <si>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</si>
  <si>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</si>
  <si>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</si>
  <si>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</si>
  <si>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</si>
  <si>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</si>
  <si>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</si>
  <si>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</si>
  <si>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</si>
  <si>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</si>
  <si>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</si>
  <si>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</si>
  <si>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</si>
  <si>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</si>
  <si>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</si>
  <si>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</si>
  <si>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</si>
  <si>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</si>
  <si>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</si>
  <si>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</si>
  <si>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</si>
  <si>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</si>
  <si>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</si>
  <si>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</si>
  <si>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</si>
  <si>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</si>
  <si>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</si>
  <si>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</si>
  <si>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</si>
  <si>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</si>
  <si>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</si>
  <si>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</si>
  <si>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</si>
  <si>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</si>
  <si>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</si>
  <si>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</si>
  <si>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</si>
  <si>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</si>
  <si>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</si>
  <si>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</si>
  <si>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</si>
  <si>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</si>
  <si>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</si>
  <si>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</si>
  <si>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</si>
  <si>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</si>
  <si>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</si>
  <si>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</si>
  <si>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</si>
  <si>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</si>
  <si>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</si>
  <si>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</si>
  <si>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</si>
  <si>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</si>
  <si>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</si>
  <si>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</si>
  <si>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</si>
  <si>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</si>
  <si>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</si>
  <si>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</si>
  <si>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</si>
  <si>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</si>
  <si>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</si>
  <si>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</si>
  <si>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</si>
  <si>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</si>
  <si>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</si>
  <si>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</si>
  <si>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</si>
  <si>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</si>
  <si>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</si>
  <si>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</si>
  <si>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</si>
  <si>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</si>
  <si>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</si>
  <si>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</si>
  <si>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</si>
  <si>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</si>
  <si>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</si>
  <si>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</si>
  <si>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</si>
  <si>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</si>
  <si>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</si>
  <si>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</si>
  <si>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</si>
  <si>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</si>
  <si>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</si>
  <si>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</si>
  <si>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</si>
  <si>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</si>
  <si>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</si>
  <si>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</si>
  <si>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</si>
  <si>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</si>
  <si>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</si>
  <si>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</si>
  <si>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</si>
  <si>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</si>
  <si>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</si>
  <si>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</si>
  <si>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</si>
  <si>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</si>
  <si>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</si>
  <si>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</si>
  <si>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</si>
  <si>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</si>
  <si>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</si>
  <si>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</si>
  <si>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</si>
  <si>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</si>
  <si>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</si>
  <si>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</si>
  <si>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</si>
  <si>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</si>
  <si>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</si>
  <si>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</si>
  <si>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</si>
  <si>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</si>
  <si>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</si>
  <si>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</si>
  <si>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</si>
  <si>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</si>
  <si>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</si>
  <si>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</si>
  <si>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</si>
  <si>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</si>
  <si>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</si>
  <si>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</si>
  <si>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</si>
  <si>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</si>
  <si>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</si>
  <si>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</si>
  <si>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</si>
  <si>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</si>
  <si>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</si>
  <si>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</si>
  <si>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</si>
  <si>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</si>
  <si>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</si>
  <si>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</si>
  <si>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</si>
  <si>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</si>
  <si>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</si>
  <si>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</si>
  <si>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</si>
  <si>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</si>
  <si>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</si>
  <si>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</si>
  <si>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</si>
  <si>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</si>
  <si>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</si>
  <si>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</si>
  <si>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</si>
  <si>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</si>
  <si>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</si>
  <si>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</si>
  <si>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</si>
  <si>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</si>
  <si>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</si>
  <si>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</si>
  <si>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</si>
  <si>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</si>
  <si>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</si>
  <si>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</si>
  <si>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</si>
  <si>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</si>
  <si>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</si>
  <si>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</si>
  <si>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</si>
  <si>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</si>
  <si>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</si>
  <si>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</si>
  <si>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</si>
  <si>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</si>
  <si>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</si>
  <si>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</si>
  <si>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</si>
  <si>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</si>
  <si>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</si>
  <si>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</si>
  <si>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</si>
  <si>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</si>
  <si>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</si>
  <si>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</si>
  <si>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</si>
  <si>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</si>
  <si>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</si>
  <si>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</si>
  <si>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</si>
  <si>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</si>
  <si>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</si>
  <si>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</si>
  <si>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</si>
  <si>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</si>
  <si>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</si>
  <si>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</si>
  <si>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</si>
  <si>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</si>
  <si>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</si>
  <si>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</si>
  <si>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</si>
  <si>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</si>
  <si>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</si>
  <si>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</si>
  <si>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</si>
  <si>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</si>
  <si>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</si>
  <si>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</si>
  <si>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</si>
  <si>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</si>
  <si>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</si>
  <si>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</si>
  <si>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</si>
  <si>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</si>
  <si>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</si>
  <si>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</si>
  <si>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</si>
  <si>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</si>
  <si>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</si>
  <si>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</si>
  <si>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</si>
  <si>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</si>
  <si>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</si>
  <si>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</si>
  <si>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</si>
  <si>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</si>
  <si>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</si>
  <si>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</si>
  <si>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</si>
  <si>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</si>
  <si>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</si>
  <si>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</si>
  <si>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</si>
  <si>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</si>
  <si>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</si>
  <si>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</si>
  <si>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</si>
  <si>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</si>
  <si>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</si>
  <si>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</si>
  <si>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</si>
  <si>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</si>
  <si>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</si>
  <si>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</si>
  <si>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</si>
  <si>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</si>
  <si>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</si>
  <si>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</si>
  <si>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</si>
  <si>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</si>
  <si>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</si>
  <si>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</si>
  <si>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</si>
  <si>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</si>
  <si>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Via RyanRent</t>
  </si>
  <si>
    <t>vattenfall</t>
  </si>
  <si>
    <t>Achteraf Betaald</t>
  </si>
  <si>
    <t>Water</t>
  </si>
  <si>
    <t>Elektra</t>
  </si>
  <si>
    <t>Gas</t>
  </si>
  <si>
    <t>dag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</si>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</sst>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8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164" fontId="0" fillId="7" borderId="0" xfId="0" applyNumberFormat="1" applyFill="1"/>
    <xf numFmtId="9" fontId="0" fillId="0" borderId="0" xfId="0" applyNumberFormat="1"/>
    <xf numFmtId="14" fontId="0" fillId="0" borderId="0" xfId="0" applyNumberForma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96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 cm="1">
        <f t="array" ref="A4">_xlfn.SINGLE(_xlfn.UNIQUE(_xlfn._xlws.FILTER(Input!A2:A5000, Input!A2:A5000&lt;&gt;"")))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ref="E5:E68" si="1">IF(A5="","",IF(AND(B5="OK",C5="OK",D5="OK"), "✅ READY", "⚠️ INCOMPLETE"))</f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1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1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1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1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1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1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1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1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1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1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1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1"/>
        <v>✅ READY</v>
      </c>
    </row>
    <row r="18" spans="1:5" x14ac:dyDescent="0.2">
      <c r="A18" t="str">
        <f>_xlfn.UNIQUE(_xlfn._xlws.FILTER(Input!A16:A5014, Input!A16:A5014&lt;&gt;""))</f>
        <v>Achterdijk 47A</v>
      </c>
      <c r="B18" t="str">
        <f>IF(A18="","",IF(COUNTIFS(Input!$A:$A, A18, Input!$B:$B, "Basis")&gt;0, "OK", "MISSING"))</f>
        <v>MISSING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MISSING</v>
      </c>
      <c r="E18" t="str">
        <f t="shared" si="1"/>
        <v>⚠️ INCOMPLETE</v>
      </c>
    </row>
    <row r="19" spans="1:5" x14ac:dyDescent="0.2">
      <c r="A19" t="e" vm="1">
        <f>_xlfn.UNIQUE(_xlfn._xlws.FILTER(Input!A17:A5015, Input!A17:A5015&lt;&gt;""))</f>
        <v>#VALUE!</v>
      </c>
      <c r="B19" t="e" vm="2">
        <f>IF(A19="","",IF(COUNTIFS(Input!$A:$A, A19, Input!$B:$B, "Basis")&gt;0, "OK", "MISSING"))</f>
        <v>#VALUE!</v>
      </c>
      <c r="C19" t="e" vm="2">
        <f>IF(A19="","",IF(COUNTIFS(Input!$A:$A, A19, Input!$B:$B, "GWE")&gt;0, "OK", "MISSING"))</f>
        <v>#VALUE!</v>
      </c>
      <c r="D19" t="e" vm="2">
        <f>IF(A19="","",IF(COUNTIFS(Input!$A:$A, A19, Input!$B:$B, "Schoonmaak")&gt;0, "OK", "MISSING"))</f>
        <v>#VALUE!</v>
      </c>
      <c r="E19" t="e" vm="2">
        <f t="shared" si="1"/>
        <v>#VALUE!</v>
      </c>
    </row>
    <row r="20" spans="1:5" x14ac:dyDescent="0.2">
      <c r="A20" t="e" vm="1">
        <f>_xlfn.UNIQUE(_xlfn._xlws.FILTER(Input!A18:A5016, Input!A18:A5016&lt;&gt;""))</f>
        <v>#VALUE!</v>
      </c>
      <c r="B20" t="e" vm="2">
        <f>IF(A20="","",IF(COUNTIFS(Input!$A:$A, A20, Input!$B:$B, "Basis")&gt;0, "OK", "MISSING"))</f>
        <v>#VALUE!</v>
      </c>
      <c r="C20" t="e" vm="2">
        <f>IF(A20="","",IF(COUNTIFS(Input!$A:$A, A20, Input!$B:$B, "GWE")&gt;0, "OK", "MISSING"))</f>
        <v>#VALUE!</v>
      </c>
      <c r="D20" t="e" vm="2">
        <f>IF(A20="","",IF(COUNTIFS(Input!$A:$A, A20, Input!$B:$B, "Schoonmaak")&gt;0, "OK", "MISSING"))</f>
        <v>#VALUE!</v>
      </c>
      <c r="E20" t="e" vm="2">
        <f t="shared" si="1"/>
        <v>#VALUE!</v>
      </c>
    </row>
    <row r="21" spans="1:5" x14ac:dyDescent="0.2">
      <c r="A21" t="e" vm="1">
        <f>_xlfn.UNIQUE(_xlfn._xlws.FILTER(Input!A19:A5017, Input!A19:A5017&lt;&gt;""))</f>
        <v>#VALUE!</v>
      </c>
      <c r="B21" t="e" vm="2">
        <f>IF(A21="","",IF(COUNTIFS(Input!$A:$A, A21, Input!$B:$B, "Basis")&gt;0, "OK", "MISSING"))</f>
        <v>#VALUE!</v>
      </c>
      <c r="C21" t="e" vm="2">
        <f>IF(A21="","",IF(COUNTIFS(Input!$A:$A, A21, Input!$B:$B, "GWE")&gt;0, "OK", "MISSING"))</f>
        <v>#VALUE!</v>
      </c>
      <c r="D21" t="e" vm="2">
        <f>IF(A21="","",IF(COUNTIFS(Input!$A:$A, A21, Input!$B:$B, "Schoonmaak")&gt;0, "OK", "MISSING"))</f>
        <v>#VALUE!</v>
      </c>
      <c r="E21" t="e" vm="2">
        <f t="shared" si="1"/>
        <v>#VALUE!</v>
      </c>
    </row>
    <row r="22" spans="1:5" x14ac:dyDescent="0.2">
      <c r="A22" t="e" vm="1">
        <f>_xlfn.UNIQUE(_xlfn._xlws.FILTER(Input!A20:A5018, Input!A20:A5018&lt;&gt;""))</f>
        <v>#VALUE!</v>
      </c>
      <c r="B22" t="e" vm="2">
        <f>IF(A22="","",IF(COUNTIFS(Input!$A:$A, A22, Input!$B:$B, "Basis")&gt;0, "OK", "MISSING"))</f>
        <v>#VALUE!</v>
      </c>
      <c r="C22" t="e" vm="2">
        <f>IF(A22="","",IF(COUNTIFS(Input!$A:$A, A22, Input!$B:$B, "GWE")&gt;0, "OK", "MISSING"))</f>
        <v>#VALUE!</v>
      </c>
      <c r="D22" t="e" vm="2">
        <f>IF(A22="","",IF(COUNTIFS(Input!$A:$A, A22, Input!$B:$B, "Schoonmaak")&gt;0, "OK", "MISSING"))</f>
        <v>#VALUE!</v>
      </c>
      <c r="E22" t="e" vm="2">
        <f t="shared" si="1"/>
        <v>#VALUE!</v>
      </c>
    </row>
    <row r="23" spans="1:5" x14ac:dyDescent="0.2">
      <c r="A23" t="e" vm="1">
        <f>_xlfn.UNIQUE(_xlfn._xlws.FILTER(Input!A21:A5019, Input!A21:A5019&lt;&gt;""))</f>
        <v>#VALUE!</v>
      </c>
      <c r="B23" t="e" vm="2">
        <f>IF(A23="","",IF(COUNTIFS(Input!$A:$A, A23, Input!$B:$B, "Basis")&gt;0, "OK", "MISSING"))</f>
        <v>#VALUE!</v>
      </c>
      <c r="C23" t="e" vm="2">
        <f>IF(A23="","",IF(COUNTIFS(Input!$A:$A, A23, Input!$B:$B, "GWE")&gt;0, "OK", "MISSING"))</f>
        <v>#VALUE!</v>
      </c>
      <c r="D23" t="e" vm="2">
        <f>IF(A23="","",IF(COUNTIFS(Input!$A:$A, A23, Input!$B:$B, "Schoonmaak")&gt;0, "OK", "MISSING"))</f>
        <v>#VALUE!</v>
      </c>
      <c r="E23" t="e" vm="2">
        <f t="shared" si="1"/>
        <v>#VALUE!</v>
      </c>
    </row>
    <row r="24" spans="1:5" x14ac:dyDescent="0.2">
      <c r="A24" t="e" vm="1">
        <f>_xlfn.UNIQUE(_xlfn._xlws.FILTER(Input!A22:A5020, Input!A22:A5020&lt;&gt;""))</f>
        <v>#VALUE!</v>
      </c>
      <c r="B24" t="e" vm="2">
        <f>IF(A24="","",IF(COUNTIFS(Input!$A:$A, A24, Input!$B:$B, "Basis")&gt;0, "OK", "MISSING"))</f>
        <v>#VALUE!</v>
      </c>
      <c r="C24" t="e" vm="2">
        <f>IF(A24="","",IF(COUNTIFS(Input!$A:$A, A24, Input!$B:$B, "GWE")&gt;0, "OK", "MISSING"))</f>
        <v>#VALUE!</v>
      </c>
      <c r="D24" t="e" vm="2">
        <f>IF(A24="","",IF(COUNTIFS(Input!$A:$A, A24, Input!$B:$B, "Schoonmaak")&gt;0, "OK", "MISSING"))</f>
        <v>#VALUE!</v>
      </c>
      <c r="E24" t="e" vm="2">
        <f t="shared" si="1"/>
        <v>#VALUE!</v>
      </c>
    </row>
    <row r="25" spans="1:5" x14ac:dyDescent="0.2">
      <c r="A25" t="e" vm="1">
        <f>_xlfn.UNIQUE(_xlfn._xlws.FILTER(Input!A23:A5021, Input!A23:A5021&lt;&gt;""))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 t="shared" si="1"/>
        <v>#VALUE!</v>
      </c>
    </row>
    <row r="26" spans="1:5" x14ac:dyDescent="0.2">
      <c r="A26" t="e" vm="1">
        <f>_xlfn.UNIQUE(_xlfn._xlws.FILTER(Input!A24:A5022, Input!A24:A5022&lt;&gt;""))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 t="shared" si="1"/>
        <v>#VALUE!</v>
      </c>
    </row>
    <row r="27" spans="1:5" x14ac:dyDescent="0.2">
      <c r="A27" t="e" vm="1">
        <f>_xlfn.UNIQUE(_xlfn._xlws.FILTER(Input!A25:A5023, Input!A25:A5023&lt;&gt;""))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 t="shared" si="1"/>
        <v>#VALUE!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1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1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1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1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1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1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1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1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si="1"/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A52" t="e" vm="1">
        <f>_xlfn.UNIQUE(_xlfn._xlws.FILTER(Input!A50:A5048, Input!A50:A5048&lt;&gt;""))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 t="shared" si="1"/>
        <v>#VALUE!</v>
      </c>
    </row>
    <row r="53" spans="1:5" x14ac:dyDescent="0.2">
      <c r="A53" t="e" vm="1">
        <f>_xlfn.UNIQUE(_xlfn._xlws.FILTER(Input!A51:A5049, Input!A51:A5049&lt;&gt;""))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 t="shared" si="1"/>
        <v>#VALUE!</v>
      </c>
    </row>
    <row r="54" spans="1:5" x14ac:dyDescent="0.2">
      <c r="A54" t="e" vm="1">
        <f>_xlfn.UNIQUE(_xlfn._xlws.FILTER(Input!A52:A5050, Input!A52:A5050&lt;&gt;""))</f>
        <v>#VALUE!</v>
      </c>
      <c r="B54" t="e" vm="2">
        <f>IF(A54="","",IF(COUNTIFS(Input!$A:$A, A54, Input!$B:$B, "Basis")&gt;0, "OK", "MISSING"))</f>
        <v>#VALUE!</v>
      </c>
      <c r="C54" t="e" vm="2">
        <f>IF(A54="","",IF(COUNTIFS(Input!$A:$A, A54, Input!$B:$B, "GWE")&gt;0, "OK", "MISSING"))</f>
        <v>#VALUE!</v>
      </c>
      <c r="D54" t="e" vm="2">
        <f>IF(A54="","",IF(COUNTIFS(Input!$A:$A, A54, Input!$B:$B, "Schoonmaak")&gt;0, "OK", "MISSING"))</f>
        <v>#VALUE!</v>
      </c>
      <c r="E54" t="e" vm="2">
        <f t="shared" si="1"/>
        <v>#VALUE!</v>
      </c>
    </row>
    <row r="55" spans="1:5" x14ac:dyDescent="0.2">
      <c r="A55" t="e" vm="1">
        <f>_xlfn.UNIQUE(_xlfn._xlws.FILTER(Input!A53:A5051, Input!A53:A5051&lt;&gt;""))</f>
        <v>#VALUE!</v>
      </c>
      <c r="B55" t="e" vm="2">
        <f>IF(A55="","",IF(COUNTIFS(Input!$A:$A, A55, Input!$B:$B, "Basis")&gt;0, "OK", "MISSING"))</f>
        <v>#VALUE!</v>
      </c>
      <c r="C55" t="e" vm="2">
        <f>IF(A55="","",IF(COUNTIFS(Input!$A:$A, A55, Input!$B:$B, "GWE")&gt;0, "OK", "MISSING"))</f>
        <v>#VALUE!</v>
      </c>
      <c r="D55" t="e" vm="2">
        <f>IF(A55="","",IF(COUNTIFS(Input!$A:$A, A55, Input!$B:$B, "Schoonmaak")&gt;0, "OK", "MISSING"))</f>
        <v>#VALUE!</v>
      </c>
      <c r="E55" t="e" vm="2">
        <f t="shared" si="1"/>
        <v>#VALUE!</v>
      </c>
    </row>
    <row r="56" spans="1:5" x14ac:dyDescent="0.2">
      <c r="A56" t="e" vm="1">
        <f>_xlfn.UNIQUE(_xlfn._xlws.FILTER(Input!A54:A5052, Input!A54:A5052&lt;&gt;""))</f>
        <v>#VALUE!</v>
      </c>
      <c r="B56" t="e" vm="2">
        <f>IF(A56="","",IF(COUNTIFS(Input!$A:$A, A56, Input!$B:$B, "Basis")&gt;0, "OK", "MISSING"))</f>
        <v>#VALUE!</v>
      </c>
      <c r="C56" t="e" vm="2">
        <f>IF(A56="","",IF(COUNTIFS(Input!$A:$A, A56, Input!$B:$B, "GWE")&gt;0, "OK", "MISSING"))</f>
        <v>#VALUE!</v>
      </c>
      <c r="D56" t="e" vm="2">
        <f>IF(A56="","",IF(COUNTIFS(Input!$A:$A, A56, Input!$B:$B, "Schoonmaak")&gt;0, "OK", "MISSING"))</f>
        <v>#VALUE!</v>
      </c>
      <c r="E56" t="e" vm="2">
        <f t="shared" si="1"/>
        <v>#VALUE!</v>
      </c>
    </row>
    <row r="57" spans="1:5" x14ac:dyDescent="0.2">
      <c r="A57" t="e" vm="1">
        <f>_xlfn.UNIQUE(_xlfn._xlws.FILTER(Input!A55:A5053, Input!A55:A5053&lt;&gt;""))</f>
        <v>#VALUE!</v>
      </c>
      <c r="B57" t="e" vm="2">
        <f>IF(A57="","",IF(COUNTIFS(Input!$A:$A, A57, Input!$B:$B, "Basis")&gt;0, "OK", "MISSING"))</f>
        <v>#VALUE!</v>
      </c>
      <c r="C57" t="e" vm="2">
        <f>IF(A57="","",IF(COUNTIFS(Input!$A:$A, A57, Input!$B:$B, "GWE")&gt;0, "OK", "MISSING"))</f>
        <v>#VALUE!</v>
      </c>
      <c r="D57" t="e" vm="2">
        <f>IF(A57="","",IF(COUNTIFS(Input!$A:$A, A57, Input!$B:$B, "Schoonmaak")&gt;0, "OK", "MISSING"))</f>
        <v>#VALUE!</v>
      </c>
      <c r="E57" t="e" vm="2">
        <f t="shared" si="1"/>
        <v>#VALUE!</v>
      </c>
    </row>
    <row r="58" spans="1:5" x14ac:dyDescent="0.2">
      <c r="A58" t="e" vm="1">
        <f>_xlfn.UNIQUE(_xlfn._xlws.FILTER(Input!A56:A5054, Input!A56:A5054&lt;&gt;""))</f>
        <v>#VALUE!</v>
      </c>
      <c r="B58" t="e" vm="2">
        <f>IF(A58="","",IF(COUNTIFS(Input!$A:$A, A58, Input!$B:$B, "Basis")&gt;0, "OK", "MISSING"))</f>
        <v>#VALUE!</v>
      </c>
      <c r="C58" t="e" vm="2">
        <f>IF(A58="","",IF(COUNTIFS(Input!$A:$A, A58, Input!$B:$B, "GWE")&gt;0, "OK", "MISSING"))</f>
        <v>#VALUE!</v>
      </c>
      <c r="D58" t="e" vm="2">
        <f>IF(A58="","",IF(COUNTIFS(Input!$A:$A, A58, Input!$B:$B, "Schoonmaak")&gt;0, "OK", "MISSING"))</f>
        <v>#VALUE!</v>
      </c>
      <c r="E58" t="e" vm="2">
        <f t="shared" si="1"/>
        <v>#VALUE!</v>
      </c>
    </row>
    <row r="59" spans="1:5" x14ac:dyDescent="0.2">
      <c r="A59" t="e" vm="1">
        <f>_xlfn.UNIQUE(_xlfn._xlws.FILTER(Input!A57:A5055, Input!A57:A5055&lt;&gt;""))</f>
        <v>#VALUE!</v>
      </c>
      <c r="B59" t="e" vm="2">
        <f>IF(A59="","",IF(COUNTIFS(Input!$A:$A, A59, Input!$B:$B, "Basis")&gt;0, "OK", "MISSING"))</f>
        <v>#VALUE!</v>
      </c>
      <c r="C59" t="e" vm="2">
        <f>IF(A59="","",IF(COUNTIFS(Input!$A:$A, A59, Input!$B:$B, "GWE")&gt;0, "OK", "MISSING"))</f>
        <v>#VALUE!</v>
      </c>
      <c r="D59" t="e" vm="2">
        <f>IF(A59="","",IF(COUNTIFS(Input!$A:$A, A59, Input!$B:$B, "Schoonmaak")&gt;0, "OK", "MISSING"))</f>
        <v>#VALUE!</v>
      </c>
      <c r="E59" t="e" vm="2">
        <f t="shared" si="1"/>
        <v>#VALUE!</v>
      </c>
    </row>
    <row r="60" spans="1:5" x14ac:dyDescent="0.2">
      <c r="A60" t="e" vm="1">
        <f>_xlfn.UNIQUE(_xlfn._xlws.FILTER(Input!A58:A5056, Input!A58:A5056&lt;&gt;""))</f>
        <v>#VALUE!</v>
      </c>
      <c r="B60" t="e" vm="2">
        <f>IF(A60="","",IF(COUNTIFS(Input!$A:$A, A60, Input!$B:$B, "Basis")&gt;0, "OK", "MISSING"))</f>
        <v>#VALUE!</v>
      </c>
      <c r="C60" t="e" vm="2">
        <f>IF(A60="","",IF(COUNTIFS(Input!$A:$A, A60, Input!$B:$B, "GWE")&gt;0, "OK", "MISSING"))</f>
        <v>#VALUE!</v>
      </c>
      <c r="D60" t="e" vm="2">
        <f>IF(A60="","",IF(COUNTIFS(Input!$A:$A, A60, Input!$B:$B, "Schoonmaak")&gt;0, "OK", "MISSING"))</f>
        <v>#VALUE!</v>
      </c>
      <c r="E60" t="e" vm="2">
        <f t="shared" si="1"/>
        <v>#VALUE!</v>
      </c>
    </row>
    <row r="61" spans="1:5" x14ac:dyDescent="0.2">
      <c r="A61" t="e" vm="1">
        <f>_xlfn.UNIQUE(_xlfn._xlws.FILTER(Input!A59:A5057, Input!A59:A5057&lt;&gt;""))</f>
        <v>#VALUE!</v>
      </c>
      <c r="B61" t="e" vm="2">
        <f>IF(A61="","",IF(COUNTIFS(Input!$A:$A, A61, Input!$B:$B, "Basis")&gt;0, "OK", "MISSING"))</f>
        <v>#VALUE!</v>
      </c>
      <c r="C61" t="e" vm="2">
        <f>IF(A61="","",IF(COUNTIFS(Input!$A:$A, A61, Input!$B:$B, "GWE")&gt;0, "OK", "MISSING"))</f>
        <v>#VALUE!</v>
      </c>
      <c r="D61" t="e" vm="2">
        <f>IF(A61="","",IF(COUNTIFS(Input!$A:$A, A61, Input!$B:$B, "Schoonmaak")&gt;0, "OK", "MISSING"))</f>
        <v>#VALUE!</v>
      </c>
      <c r="E61" t="e" vm="2">
        <f t="shared" si="1"/>
        <v>#VALUE!</v>
      </c>
    </row>
    <row r="62" spans="1:5" x14ac:dyDescent="0.2">
      <c r="A62" t="e" vm="1">
        <f>_xlfn.UNIQUE(_xlfn._xlws.FILTER(Input!A60:A5058, Input!A60:A5058&lt;&gt;""))</f>
        <v>#VALUE!</v>
      </c>
      <c r="B62" t="e" vm="2">
        <f>IF(A62="","",IF(COUNTIFS(Input!$A:$A, A62, Input!$B:$B, "Basis")&gt;0, "OK", "MISSING"))</f>
        <v>#VALUE!</v>
      </c>
      <c r="C62" t="e" vm="2">
        <f>IF(A62="","",IF(COUNTIFS(Input!$A:$A, A62, Input!$B:$B, "GWE")&gt;0, "OK", "MISSING"))</f>
        <v>#VALUE!</v>
      </c>
      <c r="D62" t="e" vm="2">
        <f>IF(A62="","",IF(COUNTIFS(Input!$A:$A, A62, Input!$B:$B, "Schoonmaak")&gt;0, "OK", "MISSING"))</f>
        <v>#VALUE!</v>
      </c>
      <c r="E62" t="e" vm="2">
        <f t="shared" si="1"/>
        <v>#VALUE!</v>
      </c>
    </row>
    <row r="63" spans="1:5" x14ac:dyDescent="0.2">
      <c r="A63" t="e" vm="1">
        <f>_xlfn.UNIQUE(_xlfn._xlws.FILTER(Input!A61:A5059, Input!A61:A5059&lt;&gt;""))</f>
        <v>#VALUE!</v>
      </c>
      <c r="B63" t="e" vm="2">
        <f>IF(A63="","",IF(COUNTIFS(Input!$A:$A, A63, Input!$B:$B, "Basis")&gt;0, "OK", "MISSING"))</f>
        <v>#VALUE!</v>
      </c>
      <c r="C63" t="e" vm="2">
        <f>IF(A63="","",IF(COUNTIFS(Input!$A:$A, A63, Input!$B:$B, "GWE")&gt;0, "OK", "MISSING"))</f>
        <v>#VALUE!</v>
      </c>
      <c r="D63" t="e" vm="2">
        <f>IF(A63="","",IF(COUNTIFS(Input!$A:$A, A63, Input!$B:$B, "Schoonmaak")&gt;0, "OK", "MISSING"))</f>
        <v>#VALUE!</v>
      </c>
      <c r="E63" t="e" vm="2">
        <f t="shared" si="1"/>
        <v>#VALUE!</v>
      </c>
    </row>
    <row r="64" spans="1:5" x14ac:dyDescent="0.2">
      <c r="A64" t="e" vm="1">
        <f>_xlfn.UNIQUE(_xlfn._xlws.FILTER(Input!A62:A5060, Input!A62:A5060&lt;&gt;""))</f>
        <v>#VALUE!</v>
      </c>
      <c r="B64" t="e" vm="2">
        <f>IF(A64="","",IF(COUNTIFS(Input!$A:$A, A64, Input!$B:$B, "Basis")&gt;0, "OK", "MISSING"))</f>
        <v>#VALUE!</v>
      </c>
      <c r="C64" t="e" vm="2">
        <f>IF(A64="","",IF(COUNTIFS(Input!$A:$A, A64, Input!$B:$B, "GWE")&gt;0, "OK", "MISSING"))</f>
        <v>#VALUE!</v>
      </c>
      <c r="D64" t="e" vm="2">
        <f>IF(A64="","",IF(COUNTIFS(Input!$A:$A, A64, Input!$B:$B, "Schoonmaak")&gt;0, "OK", "MISSING"))</f>
        <v>#VALUE!</v>
      </c>
      <c r="E64" t="e" vm="2">
        <f t="shared" si="1"/>
        <v>#VALUE!</v>
      </c>
    </row>
    <row r="65" spans="1:5" x14ac:dyDescent="0.2">
      <c r="A65" t="e" vm="1">
        <f>_xlfn.UNIQUE(_xlfn._xlws.FILTER(Input!A63:A5061, Input!A63:A5061&lt;&gt;""))</f>
        <v>#VALUE!</v>
      </c>
      <c r="B65" t="e" vm="2">
        <f>IF(A65="","",IF(COUNTIFS(Input!$A:$A, A65, Input!$B:$B, "Basis")&gt;0, "OK", "MISSING"))</f>
        <v>#VALUE!</v>
      </c>
      <c r="C65" t="e" vm="2">
        <f>IF(A65="","",IF(COUNTIFS(Input!$A:$A, A65, Input!$B:$B, "GWE")&gt;0, "OK", "MISSING"))</f>
        <v>#VALUE!</v>
      </c>
      <c r="D65" t="e" vm="2">
        <f>IF(A65="","",IF(COUNTIFS(Input!$A:$A, A65, Input!$B:$B, "Schoonmaak")&gt;0, "OK", "MISSING"))</f>
        <v>#VALUE!</v>
      </c>
      <c r="E65" t="e" vm="2">
        <f t="shared" si="1"/>
        <v>#VALUE!</v>
      </c>
    </row>
    <row r="66" spans="1:5" x14ac:dyDescent="0.2">
      <c r="A66" t="e" vm="1">
        <f>_xlfn.UNIQUE(_xlfn._xlws.FILTER(Input!A64:A5062, Input!A64:A5062&lt;&gt;""))</f>
        <v>#VALUE!</v>
      </c>
      <c r="B66" t="e" vm="2">
        <f>IF(A66="","",IF(COUNTIFS(Input!$A:$A, A66, Input!$B:$B, "Basis")&gt;0, "OK", "MISSING"))</f>
        <v>#VALUE!</v>
      </c>
      <c r="C66" t="e" vm="2">
        <f>IF(A66="","",IF(COUNTIFS(Input!$A:$A, A66, Input!$B:$B, "GWE")&gt;0, "OK", "MISSING"))</f>
        <v>#VALUE!</v>
      </c>
      <c r="D66" t="e" vm="2">
        <f>IF(A66="","",IF(COUNTIFS(Input!$A:$A, A66, Input!$B:$B, "Schoonmaak")&gt;0, "OK", "MISSING"))</f>
        <v>#VALUE!</v>
      </c>
      <c r="E66" t="e" vm="2">
        <f t="shared" si="1"/>
        <v>#VALUE!</v>
      </c>
    </row>
    <row r="67" spans="1:5" x14ac:dyDescent="0.2">
      <c r="A67" t="e" vm="1">
        <f>_xlfn.UNIQUE(_xlfn._xlws.FILTER(Input!A65:A5063, Input!A65:A5063&lt;&gt;""))</f>
        <v>#VALUE!</v>
      </c>
      <c r="B67" t="e" vm="2">
        <f>IF(A67="","",IF(COUNTIFS(Input!$A:$A, A67, Input!$B:$B, "Basis")&gt;0, "OK", "MISSING"))</f>
        <v>#VALUE!</v>
      </c>
      <c r="C67" t="e" vm="2">
        <f>IF(A67="","",IF(COUNTIFS(Input!$A:$A, A67, Input!$B:$B, "GWE")&gt;0, "OK", "MISSING"))</f>
        <v>#VALUE!</v>
      </c>
      <c r="D67" t="e" vm="2">
        <f>IF(A67="","",IF(COUNTIFS(Input!$A:$A, A67, Input!$B:$B, "Schoonmaak")&gt;0, "OK", "MISSING"))</f>
        <v>#VALUE!</v>
      </c>
      <c r="E67" t="e" vm="2">
        <f t="shared" si="1"/>
        <v>#VALUE!</v>
      </c>
    </row>
    <row r="68" spans="1:5" x14ac:dyDescent="0.2">
      <c r="A68" t="e" vm="1">
        <f>_xlfn.UNIQUE(_xlfn._xlws.FILTER(Input!A66:A5064, Input!A66:A5064&lt;&gt;""))</f>
        <v>#VALUE!</v>
      </c>
      <c r="B68" t="e" vm="2">
        <f>IF(A68="","",IF(COUNTIFS(Input!$A:$A, A68, Input!$B:$B, "Basis")&gt;0, "OK", "MISSING"))</f>
        <v>#VALUE!</v>
      </c>
      <c r="C68" t="e" vm="2">
        <f>IF(A68="","",IF(COUNTIFS(Input!$A:$A, A68, Input!$B:$B, "GWE")&gt;0, "OK", "MISSING"))</f>
        <v>#VALUE!</v>
      </c>
      <c r="D68" t="e" vm="2">
        <f>IF(A68="","",IF(COUNTIFS(Input!$A:$A, A68, Input!$B:$B, "Schoonmaak")&gt;0, "OK", "MISSING"))</f>
        <v>#VALUE!</v>
      </c>
      <c r="E68" t="e" vm="2">
        <f t="shared" si="1"/>
        <v>#VALUE!</v>
      </c>
    </row>
    <row r="69" spans="1:5" x14ac:dyDescent="0.2">
      <c r="A69" t="e" vm="1">
        <f>_xlfn.UNIQUE(_xlfn._xlws.FILTER(Input!A67:A5065, Input!A67:A5065&lt;&gt;""))</f>
        <v>#VALUE!</v>
      </c>
      <c r="B69" t="e" vm="2">
        <f>IF(A69="","",IF(COUNTIFS(Input!$A:$A, A69, Input!$B:$B, "Basis")&gt;0, "OK", "MISSING"))</f>
        <v>#VALUE!</v>
      </c>
      <c r="C69" t="e" vm="2">
        <f>IF(A69="","",IF(COUNTIFS(Input!$A:$A, A69, Input!$B:$B, "GWE")&gt;0, "OK", "MISSING"))</f>
        <v>#VALUE!</v>
      </c>
      <c r="D69" t="e" vm="2">
        <f>IF(A69="","",IF(COUNTIFS(Input!$A:$A, A69, Input!$B:$B, "Schoonmaak")&gt;0, "OK", "MISSING"))</f>
        <v>#VALUE!</v>
      </c>
      <c r="E69" t="e" vm="2">
        <f t="shared" ref="E69:E96" si="2">IF(A69="","",IF(AND(B69="OK",C69="OK",D69="OK"), "✅ READY", "⚠️ INCOMPLETE"))</f>
        <v>#VALUE!</v>
      </c>
    </row>
    <row r="70" spans="1:5" x14ac:dyDescent="0.2">
      <c r="A70" t="e" vm="1">
        <f>_xlfn.UNIQUE(_xlfn._xlws.FILTER(Input!A68:A5066, Input!A68:A5066&lt;&gt;""))</f>
        <v>#VALUE!</v>
      </c>
      <c r="B70" t="e" vm="2">
        <f>IF(A70="","",IF(COUNTIFS(Input!$A:$A, A70, Input!$B:$B, "Basis")&gt;0, "OK", "MISSING"))</f>
        <v>#VALUE!</v>
      </c>
      <c r="C70" t="e" vm="2">
        <f>IF(A70="","",IF(COUNTIFS(Input!$A:$A, A70, Input!$B:$B, "GWE")&gt;0, "OK", "MISSING"))</f>
        <v>#VALUE!</v>
      </c>
      <c r="D70" t="e" vm="2">
        <f>IF(A70="","",IF(COUNTIFS(Input!$A:$A, A70, Input!$B:$B, "Schoonmaak")&gt;0, "OK", "MISSING"))</f>
        <v>#VALUE!</v>
      </c>
      <c r="E70" t="e" vm="2">
        <f t="shared" si="2"/>
        <v>#VALUE!</v>
      </c>
    </row>
    <row r="71" spans="1:5" x14ac:dyDescent="0.2">
      <c r="A71" t="e" vm="1">
        <f>_xlfn.UNIQUE(_xlfn._xlws.FILTER(Input!A69:A5067, Input!A69:A5067&lt;&gt;""))</f>
        <v>#VALUE!</v>
      </c>
      <c r="B71" t="e" vm="2">
        <f>IF(A71="","",IF(COUNTIFS(Input!$A:$A, A71, Input!$B:$B, "Basis")&gt;0, "OK", "MISSING"))</f>
        <v>#VALUE!</v>
      </c>
      <c r="C71" t="e" vm="2">
        <f>IF(A71="","",IF(COUNTIFS(Input!$A:$A, A71, Input!$B:$B, "GWE")&gt;0, "OK", "MISSING"))</f>
        <v>#VALUE!</v>
      </c>
      <c r="D71" t="e" vm="2">
        <f>IF(A71="","",IF(COUNTIFS(Input!$A:$A, A71, Input!$B:$B, "Schoonmaak")&gt;0, "OK", "MISSING"))</f>
        <v>#VALUE!</v>
      </c>
      <c r="E71" t="e" vm="2">
        <f t="shared" si="2"/>
        <v>#VALUE!</v>
      </c>
    </row>
    <row r="72" spans="1:5" x14ac:dyDescent="0.2">
      <c r="A72" t="e" vm="1">
        <f>_xlfn.UNIQUE(_xlfn._xlws.FILTER(Input!A70:A5068, Input!A70:A5068&lt;&gt;""))</f>
        <v>#VALUE!</v>
      </c>
      <c r="B72" t="e" vm="2">
        <f>IF(A72="","",IF(COUNTIFS(Input!$A:$A, A72, Input!$B:$B, "Basis")&gt;0, "OK", "MISSING"))</f>
        <v>#VALUE!</v>
      </c>
      <c r="C72" t="e" vm="2">
        <f>IF(A72="","",IF(COUNTIFS(Input!$A:$A, A72, Input!$B:$B, "GWE")&gt;0, "OK", "MISSING"))</f>
        <v>#VALUE!</v>
      </c>
      <c r="D72" t="e" vm="2">
        <f>IF(A72="","",IF(COUNTIFS(Input!$A:$A, A72, Input!$B:$B, "Schoonmaak")&gt;0, "OK", "MISSING"))</f>
        <v>#VALUE!</v>
      </c>
      <c r="E72" t="e" vm="2">
        <f t="shared" si="2"/>
        <v>#VALUE!</v>
      </c>
    </row>
    <row r="73" spans="1:5" x14ac:dyDescent="0.2">
      <c r="A73" t="e" vm="1">
        <f>_xlfn.UNIQUE(_xlfn._xlws.FILTER(Input!A71:A5069, Input!A71:A5069&lt;&gt;""))</f>
        <v>#VALUE!</v>
      </c>
      <c r="B73" t="e" vm="2">
        <f>IF(A73="","",IF(COUNTIFS(Input!$A:$A, A73, Input!$B:$B, "Basis")&gt;0, "OK", "MISSING"))</f>
        <v>#VALUE!</v>
      </c>
      <c r="C73" t="e" vm="2">
        <f>IF(A73="","",IF(COUNTIFS(Input!$A:$A, A73, Input!$B:$B, "GWE")&gt;0, "OK", "MISSING"))</f>
        <v>#VALUE!</v>
      </c>
      <c r="D73" t="e" vm="2">
        <f>IF(A73="","",IF(COUNTIFS(Input!$A:$A, A73, Input!$B:$B, "Schoonmaak")&gt;0, "OK", "MISSING"))</f>
        <v>#VALUE!</v>
      </c>
      <c r="E73" t="e" vm="2">
        <f t="shared" si="2"/>
        <v>#VALUE!</v>
      </c>
    </row>
    <row r="74" spans="1:5" x14ac:dyDescent="0.2">
      <c r="A74" t="e" vm="1">
        <f>_xlfn.UNIQUE(_xlfn._xlws.FILTER(Input!A72:A5070, Input!A72:A5070&lt;&gt;""))</f>
        <v>#VALUE!</v>
      </c>
      <c r="B74" t="e" vm="2">
        <f>IF(A74="","",IF(COUNTIFS(Input!$A:$A, A74, Input!$B:$B, "Basis")&gt;0, "OK", "MISSING"))</f>
        <v>#VALUE!</v>
      </c>
      <c r="C74" t="e" vm="2">
        <f>IF(A74="","",IF(COUNTIFS(Input!$A:$A, A74, Input!$B:$B, "GWE")&gt;0, "OK", "MISSING"))</f>
        <v>#VALUE!</v>
      </c>
      <c r="D74" t="e" vm="2">
        <f>IF(A74="","",IF(COUNTIFS(Input!$A:$A, A74, Input!$B:$B, "Schoonmaak")&gt;0, "OK", "MISSING"))</f>
        <v>#VALUE!</v>
      </c>
      <c r="E74" t="e" vm="2">
        <f t="shared" si="2"/>
        <v>#VALUE!</v>
      </c>
    </row>
    <row r="75" spans="1:5" x14ac:dyDescent="0.2">
      <c r="A75" t="e" vm="1">
        <f>_xlfn.UNIQUE(_xlfn._xlws.FILTER(Input!A73:A5071, Input!A73:A5071&lt;&gt;""))</f>
        <v>#VALUE!</v>
      </c>
      <c r="B75" t="e" vm="2">
        <f>IF(A75="","",IF(COUNTIFS(Input!$A:$A, A75, Input!$B:$B, "Basis")&gt;0, "OK", "MISSING"))</f>
        <v>#VALUE!</v>
      </c>
      <c r="C75" t="e" vm="2">
        <f>IF(A75="","",IF(COUNTIFS(Input!$A:$A, A75, Input!$B:$B, "GWE")&gt;0, "OK", "MISSING"))</f>
        <v>#VALUE!</v>
      </c>
      <c r="D75" t="e" vm="2">
        <f>IF(A75="","",IF(COUNTIFS(Input!$A:$A, A75, Input!$B:$B, "Schoonmaak")&gt;0, "OK", "MISSING"))</f>
        <v>#VALUE!</v>
      </c>
      <c r="E75" t="e" vm="2">
        <f t="shared" si="2"/>
        <v>#VALUE!</v>
      </c>
    </row>
    <row r="76" spans="1:5" x14ac:dyDescent="0.2">
      <c r="A76" t="e" vm="1">
        <f>_xlfn.UNIQUE(_xlfn._xlws.FILTER(Input!A74:A5072, Input!A74:A5072&lt;&gt;""))</f>
        <v>#VALUE!</v>
      </c>
      <c r="B76" t="e" vm="2">
        <f>IF(A76="","",IF(COUNTIFS(Input!$A:$A, A76, Input!$B:$B, "Basis")&gt;0, "OK", "MISSING"))</f>
        <v>#VALUE!</v>
      </c>
      <c r="C76" t="e" vm="2">
        <f>IF(A76="","",IF(COUNTIFS(Input!$A:$A, A76, Input!$B:$B, "GWE")&gt;0, "OK", "MISSING"))</f>
        <v>#VALUE!</v>
      </c>
      <c r="D76" t="e" vm="2">
        <f>IF(A76="","",IF(COUNTIFS(Input!$A:$A, A76, Input!$B:$B, "Schoonmaak")&gt;0, "OK", "MISSING"))</f>
        <v>#VALUE!</v>
      </c>
      <c r="E76" t="e" vm="2">
        <f t="shared" si="2"/>
        <v>#VALUE!</v>
      </c>
    </row>
    <row r="77" spans="1:5" x14ac:dyDescent="0.2">
      <c r="A77" t="e" vm="1">
        <f>_xlfn.UNIQUE(_xlfn._xlws.FILTER(Input!A75:A5073, Input!A75:A5073&lt;&gt;""))</f>
        <v>#VALUE!</v>
      </c>
      <c r="B77" t="e" vm="2">
        <f>IF(A77="","",IF(COUNTIFS(Input!$A:$A, A77, Input!$B:$B, "Basis")&gt;0, "OK", "MISSING"))</f>
        <v>#VALUE!</v>
      </c>
      <c r="C77" t="e" vm="2">
        <f>IF(A77="","",IF(COUNTIFS(Input!$A:$A, A77, Input!$B:$B, "GWE")&gt;0, "OK", "MISSING"))</f>
        <v>#VALUE!</v>
      </c>
      <c r="D77" t="e" vm="2">
        <f>IF(A77="","",IF(COUNTIFS(Input!$A:$A, A77, Input!$B:$B, "Schoonmaak")&gt;0, "OK", "MISSING"))</f>
        <v>#VALUE!</v>
      </c>
      <c r="E77" t="e" vm="2">
        <f t="shared" si="2"/>
        <v>#VALUE!</v>
      </c>
    </row>
    <row r="78" spans="1:5" x14ac:dyDescent="0.2">
      <c r="A78" t="e" vm="1">
        <f>_xlfn.UNIQUE(_xlfn._xlws.FILTER(Input!A76:A5074, Input!A76:A5074&lt;&gt;""))</f>
        <v>#VALUE!</v>
      </c>
      <c r="B78" t="e" vm="2">
        <f>IF(A78="","",IF(COUNTIFS(Input!$A:$A, A78, Input!$B:$B, "Basis")&gt;0, "OK", "MISSING"))</f>
        <v>#VALUE!</v>
      </c>
      <c r="C78" t="e" vm="2">
        <f>IF(A78="","",IF(COUNTIFS(Input!$A:$A, A78, Input!$B:$B, "GWE")&gt;0, "OK", "MISSING"))</f>
        <v>#VALUE!</v>
      </c>
      <c r="D78" t="e" vm="2">
        <f>IF(A78="","",IF(COUNTIFS(Input!$A:$A, A78, Input!$B:$B, "Schoonmaak")&gt;0, "OK", "MISSING"))</f>
        <v>#VALUE!</v>
      </c>
      <c r="E78" t="e" vm="2">
        <f t="shared" si="2"/>
        <v>#VALUE!</v>
      </c>
    </row>
    <row r="79" spans="1:5" x14ac:dyDescent="0.2">
      <c r="A79" t="e" vm="1">
        <f>_xlfn.UNIQUE(_xlfn._xlws.FILTER(Input!A77:A5075, Input!A77:A5075&lt;&gt;""))</f>
        <v>#VALUE!</v>
      </c>
      <c r="B79" t="e" vm="2">
        <f>IF(A79="","",IF(COUNTIFS(Input!$A:$A, A79, Input!$B:$B, "Basis")&gt;0, "OK", "MISSING"))</f>
        <v>#VALUE!</v>
      </c>
      <c r="C79" t="e" vm="2">
        <f>IF(A79="","",IF(COUNTIFS(Input!$A:$A, A79, Input!$B:$B, "GWE")&gt;0, "OK", "MISSING"))</f>
        <v>#VALUE!</v>
      </c>
      <c r="D79" t="e" vm="2">
        <f>IF(A79="","",IF(COUNTIFS(Input!$A:$A, A79, Input!$B:$B, "Schoonmaak")&gt;0, "OK", "MISSING"))</f>
        <v>#VALUE!</v>
      </c>
      <c r="E79" t="e" vm="2">
        <f t="shared" si="2"/>
        <v>#VALUE!</v>
      </c>
    </row>
    <row r="80" spans="1:5" x14ac:dyDescent="0.2">
      <c r="A80" t="e" vm="1">
        <f>_xlfn.UNIQUE(_xlfn._xlws.FILTER(Input!A78:A5076, Input!A78:A5076&lt;&gt;""))</f>
        <v>#VALUE!</v>
      </c>
      <c r="B80" t="e" vm="2">
        <f>IF(A80="","",IF(COUNTIFS(Input!$A:$A, A80, Input!$B:$B, "Basis")&gt;0, "OK", "MISSING"))</f>
        <v>#VALUE!</v>
      </c>
      <c r="C80" t="e" vm="2">
        <f>IF(A80="","",IF(COUNTIFS(Input!$A:$A, A80, Input!$B:$B, "GWE")&gt;0, "OK", "MISSING"))</f>
        <v>#VALUE!</v>
      </c>
      <c r="D80" t="e" vm="2">
        <f>IF(A80="","",IF(COUNTIFS(Input!$A:$A, A80, Input!$B:$B, "Schoonmaak")&gt;0, "OK", "MISSING"))</f>
        <v>#VALUE!</v>
      </c>
      <c r="E80" t="e" vm="2">
        <f t="shared" si="2"/>
        <v>#VALUE!</v>
      </c>
    </row>
    <row r="81" spans="1:5" x14ac:dyDescent="0.2">
      <c r="A81" t="e" vm="1">
        <f>_xlfn.UNIQUE(_xlfn._xlws.FILTER(Input!A79:A5077, Input!A79:A5077&lt;&gt;""))</f>
        <v>#VALUE!</v>
      </c>
      <c r="B81" t="e" vm="2">
        <f>IF(A81="","",IF(COUNTIFS(Input!$A:$A, A81, Input!$B:$B, "Basis")&gt;0, "OK", "MISSING"))</f>
        <v>#VALUE!</v>
      </c>
      <c r="C81" t="e" vm="2">
        <f>IF(A81="","",IF(COUNTIFS(Input!$A:$A, A81, Input!$B:$B, "GWE")&gt;0, "OK", "MISSING"))</f>
        <v>#VALUE!</v>
      </c>
      <c r="D81" t="e" vm="2">
        <f>IF(A81="","",IF(COUNTIFS(Input!$A:$A, A81, Input!$B:$B, "Schoonmaak")&gt;0, "OK", "MISSING"))</f>
        <v>#VALUE!</v>
      </c>
      <c r="E81" t="e" vm="2">
        <f t="shared" si="2"/>
        <v>#VALUE!</v>
      </c>
    </row>
    <row r="82" spans="1:5" x14ac:dyDescent="0.2">
      <c r="A82" t="e" vm="1">
        <f>_xlfn.UNIQUE(_xlfn._xlws.FILTER(Input!A80:A5078, Input!A80:A5078&lt;&gt;""))</f>
        <v>#VALUE!</v>
      </c>
      <c r="B82" t="e" vm="2">
        <f>IF(A82="","",IF(COUNTIFS(Input!$A:$A, A82, Input!$B:$B, "Basis")&gt;0, "OK", "MISSING"))</f>
        <v>#VALUE!</v>
      </c>
      <c r="C82" t="e" vm="2">
        <f>IF(A82="","",IF(COUNTIFS(Input!$A:$A, A82, Input!$B:$B, "GWE")&gt;0, "OK", "MISSING"))</f>
        <v>#VALUE!</v>
      </c>
      <c r="D82" t="e" vm="2">
        <f>IF(A82="","",IF(COUNTIFS(Input!$A:$A, A82, Input!$B:$B, "Schoonmaak")&gt;0, "OK", "MISSING"))</f>
        <v>#VALUE!</v>
      </c>
      <c r="E82" t="e" vm="2">
        <f t="shared" si="2"/>
        <v>#VALUE!</v>
      </c>
    </row>
    <row r="83" spans="1:5" x14ac:dyDescent="0.2">
      <c r="A83" t="e" vm="1">
        <f>_xlfn.UNIQUE(_xlfn._xlws.FILTER(Input!A81:A5079, Input!A81:A5079&lt;&gt;""))</f>
        <v>#VALUE!</v>
      </c>
      <c r="B83" t="e" vm="2">
        <f>IF(A83="","",IF(COUNTIFS(Input!$A:$A, A83, Input!$B:$B, "Basis")&gt;0, "OK", "MISSING"))</f>
        <v>#VALUE!</v>
      </c>
      <c r="C83" t="e" vm="2">
        <f>IF(A83="","",IF(COUNTIFS(Input!$A:$A, A83, Input!$B:$B, "GWE")&gt;0, "OK", "MISSING"))</f>
        <v>#VALUE!</v>
      </c>
      <c r="D83" t="e" vm="2">
        <f>IF(A83="","",IF(COUNTIFS(Input!$A:$A, A83, Input!$B:$B, "Schoonmaak")&gt;0, "OK", "MISSING"))</f>
        <v>#VALUE!</v>
      </c>
      <c r="E83" t="e" vm="2">
        <f t="shared" si="2"/>
        <v>#VALUE!</v>
      </c>
    </row>
    <row r="84" spans="1:5" x14ac:dyDescent="0.2">
      <c r="A84" t="e" vm="1">
        <f>_xlfn.UNIQUE(_xlfn._xlws.FILTER(Input!A82:A5080, Input!A82:A5080&lt;&gt;""))</f>
        <v>#VALUE!</v>
      </c>
      <c r="B84" t="e" vm="2">
        <f>IF(A84="","",IF(COUNTIFS(Input!$A:$A, A84, Input!$B:$B, "Basis")&gt;0, "OK", "MISSING"))</f>
        <v>#VALUE!</v>
      </c>
      <c r="C84" t="e" vm="2">
        <f>IF(A84="","",IF(COUNTIFS(Input!$A:$A, A84, Input!$B:$B, "GWE")&gt;0, "OK", "MISSING"))</f>
        <v>#VALUE!</v>
      </c>
      <c r="D84" t="e" vm="2">
        <f>IF(A84="","",IF(COUNTIFS(Input!$A:$A, A84, Input!$B:$B, "Schoonmaak")&gt;0, "OK", "MISSING"))</f>
        <v>#VALUE!</v>
      </c>
      <c r="E84" t="e" vm="2">
        <f t="shared" si="2"/>
        <v>#VALUE!</v>
      </c>
    </row>
    <row r="85" spans="1:5" x14ac:dyDescent="0.2">
      <c r="A85" t="e" vm="1">
        <f>_xlfn.UNIQUE(_xlfn._xlws.FILTER(Input!A83:A5081, Input!A83:A5081&lt;&gt;""))</f>
        <v>#VALUE!</v>
      </c>
      <c r="B85" t="e" vm="2">
        <f>IF(A85="","",IF(COUNTIFS(Input!$A:$A, A85, Input!$B:$B, "Basis")&gt;0, "OK", "MISSING"))</f>
        <v>#VALUE!</v>
      </c>
      <c r="C85" t="e" vm="2">
        <f>IF(A85="","",IF(COUNTIFS(Input!$A:$A, A85, Input!$B:$B, "GWE")&gt;0, "OK", "MISSING"))</f>
        <v>#VALUE!</v>
      </c>
      <c r="D85" t="e" vm="2">
        <f>IF(A85="","",IF(COUNTIFS(Input!$A:$A, A85, Input!$B:$B, "Schoonmaak")&gt;0, "OK", "MISSING"))</f>
        <v>#VALUE!</v>
      </c>
      <c r="E85" t="e" vm="2">
        <f t="shared" si="2"/>
        <v>#VALUE!</v>
      </c>
    </row>
    <row r="86" spans="1:5" x14ac:dyDescent="0.2">
      <c r="A86" t="e" vm="1">
        <f>_xlfn.UNIQUE(_xlfn._xlws.FILTER(Input!A84:A5082, Input!A84:A5082&lt;&gt;""))</f>
        <v>#VALUE!</v>
      </c>
      <c r="B86" t="e" vm="2">
        <f>IF(A86="","",IF(COUNTIFS(Input!$A:$A, A86, Input!$B:$B, "Basis")&gt;0, "OK", "MISSING"))</f>
        <v>#VALUE!</v>
      </c>
      <c r="C86" t="e" vm="2">
        <f>IF(A86="","",IF(COUNTIFS(Input!$A:$A, A86, Input!$B:$B, "GWE")&gt;0, "OK", "MISSING"))</f>
        <v>#VALUE!</v>
      </c>
      <c r="D86" t="e" vm="2">
        <f>IF(A86="","",IF(COUNTIFS(Input!$A:$A, A86, Input!$B:$B, "Schoonmaak")&gt;0, "OK", "MISSING"))</f>
        <v>#VALUE!</v>
      </c>
      <c r="E86" t="e" vm="2">
        <f t="shared" si="2"/>
        <v>#VALUE!</v>
      </c>
    </row>
    <row r="87" spans="1:5" x14ac:dyDescent="0.2">
      <c r="A87" t="e" vm="1">
        <f>_xlfn.UNIQUE(_xlfn._xlws.FILTER(Input!A85:A5083, Input!A85:A5083&lt;&gt;""))</f>
        <v>#VALUE!</v>
      </c>
      <c r="B87" t="e" vm="2">
        <f>IF(A87="","",IF(COUNTIFS(Input!$A:$A, A87, Input!$B:$B, "Basis")&gt;0, "OK", "MISSING"))</f>
        <v>#VALUE!</v>
      </c>
      <c r="C87" t="e" vm="2">
        <f>IF(A87="","",IF(COUNTIFS(Input!$A:$A, A87, Input!$B:$B, "GWE")&gt;0, "OK", "MISSING"))</f>
        <v>#VALUE!</v>
      </c>
      <c r="D87" t="e" vm="2">
        <f>IF(A87="","",IF(COUNTIFS(Input!$A:$A, A87, Input!$B:$B, "Schoonmaak")&gt;0, "OK", "MISSING"))</f>
        <v>#VALUE!</v>
      </c>
      <c r="E87" t="e" vm="2">
        <f t="shared" si="2"/>
        <v>#VALUE!</v>
      </c>
    </row>
    <row r="88" spans="1:5" x14ac:dyDescent="0.2">
      <c r="A88" t="e" vm="1">
        <f>_xlfn.UNIQUE(_xlfn._xlws.FILTER(Input!A86:A5084, Input!A86:A5084&lt;&gt;""))</f>
        <v>#VALUE!</v>
      </c>
      <c r="B88" t="e" vm="2">
        <f>IF(A88="","",IF(COUNTIFS(Input!$A:$A, A88, Input!$B:$B, "Basis")&gt;0, "OK", "MISSING"))</f>
        <v>#VALUE!</v>
      </c>
      <c r="C88" t="e" vm="2">
        <f>IF(A88="","",IF(COUNTIFS(Input!$A:$A, A88, Input!$B:$B, "GWE")&gt;0, "OK", "MISSING"))</f>
        <v>#VALUE!</v>
      </c>
      <c r="D88" t="e" vm="2">
        <f>IF(A88="","",IF(COUNTIFS(Input!$A:$A, A88, Input!$B:$B, "Schoonmaak")&gt;0, "OK", "MISSING"))</f>
        <v>#VALUE!</v>
      </c>
      <c r="E88" t="e" vm="2">
        <f t="shared" si="2"/>
        <v>#VALUE!</v>
      </c>
    </row>
    <row r="89" spans="1:5" x14ac:dyDescent="0.2">
      <c r="A89" t="e" vm="1">
        <f>_xlfn.UNIQUE(_xlfn._xlws.FILTER(Input!A87:A5085, Input!A87:A5085&lt;&gt;""))</f>
        <v>#VALUE!</v>
      </c>
      <c r="B89" t="e" vm="2">
        <f>IF(A89="","",IF(COUNTIFS(Input!$A:$A, A89, Input!$B:$B, "Basis")&gt;0, "OK", "MISSING"))</f>
        <v>#VALUE!</v>
      </c>
      <c r="C89" t="e" vm="2">
        <f>IF(A89="","",IF(COUNTIFS(Input!$A:$A, A89, Input!$B:$B, "GWE")&gt;0, "OK", "MISSING"))</f>
        <v>#VALUE!</v>
      </c>
      <c r="D89" t="e" vm="2">
        <f>IF(A89="","",IF(COUNTIFS(Input!$A:$A, A89, Input!$B:$B, "Schoonmaak")&gt;0, "OK", "MISSING"))</f>
        <v>#VALUE!</v>
      </c>
      <c r="E89" t="e" vm="2">
        <f t="shared" si="2"/>
        <v>#VALUE!</v>
      </c>
    </row>
    <row r="90" spans="1:5" x14ac:dyDescent="0.2">
      <c r="A90" t="e" vm="1">
        <f>_xlfn.UNIQUE(_xlfn._xlws.FILTER(Input!A88:A5086, Input!A88:A5086&lt;&gt;""))</f>
        <v>#VALUE!</v>
      </c>
      <c r="B90" t="e" vm="2">
        <f>IF(A90="","",IF(COUNTIFS(Input!$A:$A, A90, Input!$B:$B, "Basis")&gt;0, "OK", "MISSING"))</f>
        <v>#VALUE!</v>
      </c>
      <c r="C90" t="e" vm="2">
        <f>IF(A90="","",IF(COUNTIFS(Input!$A:$A, A90, Input!$B:$B, "GWE")&gt;0, "OK", "MISSING"))</f>
        <v>#VALUE!</v>
      </c>
      <c r="D90" t="e" vm="2">
        <f>IF(A90="","",IF(COUNTIFS(Input!$A:$A, A90, Input!$B:$B, "Schoonmaak")&gt;0, "OK", "MISSING"))</f>
        <v>#VALUE!</v>
      </c>
      <c r="E90" t="e" vm="2">
        <f t="shared" si="2"/>
        <v>#VALUE!</v>
      </c>
    </row>
    <row r="91" spans="1:5" x14ac:dyDescent="0.2">
      <c r="A91" t="e" vm="1">
        <f>_xlfn.UNIQUE(_xlfn._xlws.FILTER(Input!A89:A5087, Input!A89:A5087&lt;&gt;""))</f>
        <v>#VALUE!</v>
      </c>
      <c r="B91" t="e" vm="2">
        <f>IF(A91="","",IF(COUNTIFS(Input!$A:$A, A91, Input!$B:$B, "Basis")&gt;0, "OK", "MISSING"))</f>
        <v>#VALUE!</v>
      </c>
      <c r="C91" t="e" vm="2">
        <f>IF(A91="","",IF(COUNTIFS(Input!$A:$A, A91, Input!$B:$B, "GWE")&gt;0, "OK", "MISSING"))</f>
        <v>#VALUE!</v>
      </c>
      <c r="D91" t="e" vm="2">
        <f>IF(A91="","",IF(COUNTIFS(Input!$A:$A, A91, Input!$B:$B, "Schoonmaak")&gt;0, "OK", "MISSING"))</f>
        <v>#VALUE!</v>
      </c>
      <c r="E91" t="e" vm="2">
        <f t="shared" si="2"/>
        <v>#VALUE!</v>
      </c>
    </row>
    <row r="92" spans="1:5" x14ac:dyDescent="0.2">
      <c r="A92" t="e" vm="1">
        <f>_xlfn.UNIQUE(_xlfn._xlws.FILTER(Input!A90:A5088, Input!A90:A5088&lt;&gt;""))</f>
        <v>#VALUE!</v>
      </c>
      <c r="B92" t="e" vm="2">
        <f>IF(A92="","",IF(COUNTIFS(Input!$A:$A, A92, Input!$B:$B, "Basis")&gt;0, "OK", "MISSING"))</f>
        <v>#VALUE!</v>
      </c>
      <c r="C92" t="e" vm="2">
        <f>IF(A92="","",IF(COUNTIFS(Input!$A:$A, A92, Input!$B:$B, "GWE")&gt;0, "OK", "MISSING"))</f>
        <v>#VALUE!</v>
      </c>
      <c r="D92" t="e" vm="2">
        <f>IF(A92="","",IF(COUNTIFS(Input!$A:$A, A92, Input!$B:$B, "Schoonmaak")&gt;0, "OK", "MISSING"))</f>
        <v>#VALUE!</v>
      </c>
      <c r="E92" t="e" vm="2">
        <f t="shared" si="2"/>
        <v>#VALUE!</v>
      </c>
    </row>
    <row r="93" spans="1:5" x14ac:dyDescent="0.2">
      <c r="A93" t="e" vm="1">
        <f>_xlfn.UNIQUE(_xlfn._xlws.FILTER(Input!A91:A5089, Input!A91:A5089&lt;&gt;""))</f>
        <v>#VALUE!</v>
      </c>
      <c r="B93" t="e" vm="2">
        <f>IF(A93="","",IF(COUNTIFS(Input!$A:$A, A93, Input!$B:$B, "Basis")&gt;0, "OK", "MISSING"))</f>
        <v>#VALUE!</v>
      </c>
      <c r="C93" t="e" vm="2">
        <f>IF(A93="","",IF(COUNTIFS(Input!$A:$A, A93, Input!$B:$B, "GWE")&gt;0, "OK", "MISSING"))</f>
        <v>#VALUE!</v>
      </c>
      <c r="D93" t="e" vm="2">
        <f>IF(A93="","",IF(COUNTIFS(Input!$A:$A, A93, Input!$B:$B, "Schoonmaak")&gt;0, "OK", "MISSING"))</f>
        <v>#VALUE!</v>
      </c>
      <c r="E93" t="e" vm="2">
        <f t="shared" si="2"/>
        <v>#VALUE!</v>
      </c>
    </row>
    <row r="94" spans="1:5" x14ac:dyDescent="0.2">
      <c r="A94" t="e" vm="1">
        <f>_xlfn.UNIQUE(_xlfn._xlws.FILTER(Input!A92:A5090, Input!A92:A5090&lt;&gt;""))</f>
        <v>#VALUE!</v>
      </c>
      <c r="B94" t="e" vm="2">
        <f>IF(A94="","",IF(COUNTIFS(Input!$A:$A, A94, Input!$B:$B, "Basis")&gt;0, "OK", "MISSING"))</f>
        <v>#VALUE!</v>
      </c>
      <c r="C94" t="e" vm="2">
        <f>IF(A94="","",IF(COUNTIFS(Input!$A:$A, A94, Input!$B:$B, "GWE")&gt;0, "OK", "MISSING"))</f>
        <v>#VALUE!</v>
      </c>
      <c r="D94" t="e" vm="2">
        <f>IF(A94="","",IF(COUNTIFS(Input!$A:$A, A94, Input!$B:$B, "Schoonmaak")&gt;0, "OK", "MISSING"))</f>
        <v>#VALUE!</v>
      </c>
      <c r="E94" t="e" vm="2">
        <f t="shared" si="2"/>
        <v>#VALUE!</v>
      </c>
    </row>
    <row r="95" spans="1:5" x14ac:dyDescent="0.2">
      <c r="A95" t="e" vm="1">
        <f>_xlfn.UNIQUE(_xlfn._xlws.FILTER(Input!A93:A5091, Input!A93:A5091&lt;&gt;""))</f>
        <v>#VALUE!</v>
      </c>
      <c r="B95" t="e" vm="2">
        <f>IF(A95="","",IF(COUNTIFS(Input!$A:$A, A95, Input!$B:$B, "Basis")&gt;0, "OK", "MISSING"))</f>
        <v>#VALUE!</v>
      </c>
      <c r="C95" t="e" vm="2">
        <f>IF(A95="","",IF(COUNTIFS(Input!$A:$A, A95, Input!$B:$B, "GWE")&gt;0, "OK", "MISSING"))</f>
        <v>#VALUE!</v>
      </c>
      <c r="D95" t="e" vm="2">
        <f>IF(A95="","",IF(COUNTIFS(Input!$A:$A, A95, Input!$B:$B, "Schoonmaak")&gt;0, "OK", "MISSING"))</f>
        <v>#VALUE!</v>
      </c>
      <c r="E95" t="e" vm="2">
        <f t="shared" si="2"/>
        <v>#VALUE!</v>
      </c>
    </row>
    <row r="96" spans="1:5" x14ac:dyDescent="0.2">
      <c r="A96" t="e" vm="1">
        <f>_xlfn.UNIQUE(_xlfn._xlws.FILTER(Input!A94:A5092, Input!A94:A5092&lt;&gt;""))</f>
        <v>#VALUE!</v>
      </c>
      <c r="B96" t="e" vm="2">
        <f>IF(A96="","",IF(COUNTIFS(Input!$A:$A, A96, Input!$B:$B, "Basis")&gt;0, "OK", "MISSING"))</f>
        <v>#VALUE!</v>
      </c>
      <c r="C96" t="e" vm="2">
        <f>IF(A96="","",IF(COUNTIFS(Input!$A:$A, A96, Input!$B:$B, "GWE")&gt;0, "OK", "MISSING"))</f>
        <v>#VALUE!</v>
      </c>
      <c r="D96" t="e" vm="2">
        <f>IF(A96="","",IF(COUNTIFS(Input!$A:$A, A96, Input!$B:$B, "Schoonmaak")&gt;0, "OK", "MISSING"))</f>
        <v>#VALUE!</v>
      </c>
      <c r="E96" t="e" vm="2">
        <f t="shared" si="2"/>
        <v>#VALUE!</v>
      </c>
    </row>
  </sheetData>
  <conditionalFormatting sqref="B4:D96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96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1"/>
  <sheetViews>
    <sheetView tabSelected="1" workbookViewId="0">
      <pane ySplit="1" topLeftCell="A2" activePane="bottomLeft" state="frozen"/>
      <selection pane="bottomLeft" activeCell="A2" sqref="A2:C15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34" width="15" customWidth="1"/>
    <col min="35" max="35" width="30" customWidth="1"/>
    <col min="36" max="41" width="15" customWidth="1"/>
  </cols>
  <sheetData>
    <row r="1" spans="1:41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33</v>
      </c>
      <c r="AM1" s="7" t="s">
        <v>34</v>
      </c>
      <c r="AN1" s="7" t="s">
        <v>35</v>
      </c>
      <c r="AO1" s="7" t="s">
        <v>36</v>
      </c>
    </row>
    <row r="2" spans="1:41" x14ac:dyDescent="0.2">
      <c r="A2" t="s">
        <v>1121</v>
      </c>
      <c r="B2" t="s">
        <v>1307</v>
      </c>
      <c r="C2" t="s">
        <v>260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v>3100</v>
      </c>
      <c r="L2" s="9">
        <f>IF(A2="","",IFERROR(VLOOKUP(A2,Lists!$A:$H,7,FALSE),0))</f>
        <v>300</v>
      </c>
      <c r="M2" s="10">
        <f t="shared" ref="M2:M33" si="0">IF(K2="Eigen Beheer",0,IF(AND(ISNUMBER(L2),I2&lt;&gt;"",H2&lt;&gt;""),(L2*12/365)*(I2-H2),0))</f>
        <v>0</v>
      </c>
      <c r="P2" s="8" t="str">
        <f>IF(O2="","",VLOOKUP(O2,Lists!$E:$F,2,FALSE))</f>
        <v/>
      </c>
      <c r="T2">
        <v>13598</v>
      </c>
      <c r="U2">
        <v>16906</v>
      </c>
      <c r="V2">
        <v>11954</v>
      </c>
      <c r="W2">
        <v>15360</v>
      </c>
      <c r="X2">
        <v>1128</v>
      </c>
      <c r="Y2">
        <v>1313</v>
      </c>
      <c r="AC2" s="10" t="str">
        <f t="shared" ref="AC2:AC33" si="1">IF(AND(AA2&lt;&gt;"",AB2&lt;&gt;""),AA2*AB2,"")</f>
        <v/>
      </c>
      <c r="AD2" s="11"/>
      <c r="AE2" s="10" t="str">
        <f t="shared" ref="AE2:AE33" si="2">IF(AND(AC2&lt;&gt;"",AD2&lt;&gt;""),AC2*AD2,"")</f>
        <v/>
      </c>
      <c r="AF2" s="10" t="str">
        <f t="shared" ref="AF2:AF33" si="3">IF(AND(AC2&lt;&gt;"",AE2&lt;&gt;""),AC2+AE2,"")</f>
        <v/>
      </c>
      <c r="AJ2" t="str">
        <f t="shared" ref="AJ2:AJ33" si="4">IF($B2="GWE_Item",IF($AG2="Elektra",SUMIFS($U:$U,$A:$A,$A2,$B:$B,"GWE")-SUMIFS($T:$T,$A:$A,$A2,$B:$B,"GWE"),IF($AG2="Gas",SUMIFS($W:$W,$A:$A,$A2,$B:$B,"GWE")-SUMIFS($V:$V,$A:$A,$A2,$B:$B,"GWE"),IF($AG2="Water",SUMIFS($Y:$Y,$A:$A,$A2,$B:$B,"GWE")-SUMIFS($X:$X,$A:$A,$A2,$B:$B,"GWE"),""))),"")</f>
        <v/>
      </c>
      <c r="AL2" s="10" t="str">
        <f t="shared" ref="AL2:AL33" si="5">IF(AND(AJ2&lt;&gt;"",AK2&lt;&gt;""),AJ2*AK2,"")</f>
        <v/>
      </c>
      <c r="AM2" s="11"/>
      <c r="AN2" s="10" t="str">
        <f t="shared" ref="AN2:AN33" si="6">IF(AND(AL2&lt;&gt;"",AM2&lt;&gt;""),AL2*AM2,"")</f>
        <v/>
      </c>
      <c r="AO2" s="10" t="str">
        <f t="shared" ref="AO2:AO33" si="7">IF(AND(AL2&lt;&gt;"",AN2&lt;&gt;""),AL2+AN2,"")</f>
        <v/>
      </c>
    </row>
    <row r="3" spans="1:41" x14ac:dyDescent="0.2">
      <c r="A3" t="s">
        <v>1121</v>
      </c>
      <c r="B3" t="s">
        <v>1308</v>
      </c>
      <c r="C3" t="s">
        <v>260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v>3100</v>
      </c>
      <c r="L3" s="9">
        <f>IF(A3="","",IFERROR(VLOOKUP(A3,Lists!$A:$H,7,FALSE),0))</f>
        <v>300</v>
      </c>
      <c r="M3" s="10">
        <f t="shared" si="0"/>
        <v>0</v>
      </c>
      <c r="P3" s="8" t="str">
        <f>IF(O3="","",VLOOKUP(O3,Lists!$E:$F,2,FALSE))</f>
        <v/>
      </c>
      <c r="AC3" s="10" t="str">
        <f t="shared" si="1"/>
        <v/>
      </c>
      <c r="AD3" s="11"/>
      <c r="AE3" s="10" t="str">
        <f t="shared" si="2"/>
        <v/>
      </c>
      <c r="AF3" s="10" t="str">
        <f t="shared" si="3"/>
        <v/>
      </c>
      <c r="AG3" t="s">
        <v>1314</v>
      </c>
      <c r="AH3" t="str">
        <f t="shared" ref="AH3" si="8">IF(AG3="Elektra","kWh",IF(AG3="Gas","m³",IF(AG3="Water","m³","")))</f>
        <v>m³</v>
      </c>
      <c r="AI3" t="s">
        <v>1318</v>
      </c>
      <c r="AJ3">
        <f t="shared" si="4"/>
        <v>185</v>
      </c>
      <c r="AK3" s="13">
        <v>1.29</v>
      </c>
      <c r="AL3" s="10">
        <f t="shared" si="5"/>
        <v>238.65</v>
      </c>
      <c r="AM3" s="14">
        <v>0.09</v>
      </c>
      <c r="AN3" s="10">
        <f t="shared" si="6"/>
        <v>21.4785</v>
      </c>
      <c r="AO3" s="10">
        <f t="shared" si="7"/>
        <v>260.12850000000003</v>
      </c>
    </row>
    <row r="4" spans="1:41" x14ac:dyDescent="0.2">
      <c r="A4" t="s">
        <v>1121</v>
      </c>
      <c r="B4" t="s">
        <v>1308</v>
      </c>
      <c r="C4" t="s">
        <v>260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v>3100</v>
      </c>
      <c r="L4" s="9">
        <f>IF(A4="","",IFERROR(VLOOKUP(A4,Lists!$A:$H,7,FALSE),0))</f>
        <v>300</v>
      </c>
      <c r="M4" s="10">
        <f t="shared" si="0"/>
        <v>0</v>
      </c>
      <c r="P4" s="8" t="str">
        <f>IF(O4="","",VLOOKUP(O4,Lists!$E:$F,2,FALSE))</f>
        <v/>
      </c>
      <c r="AC4" s="10" t="str">
        <f t="shared" si="1"/>
        <v/>
      </c>
      <c r="AD4" s="11"/>
      <c r="AE4" s="10" t="str">
        <f t="shared" si="2"/>
        <v/>
      </c>
      <c r="AF4" s="10" t="str">
        <f t="shared" si="3"/>
        <v/>
      </c>
      <c r="AG4" t="s">
        <v>1314</v>
      </c>
      <c r="AH4" t="s">
        <v>1317</v>
      </c>
      <c r="AI4" t="s">
        <v>1319</v>
      </c>
      <c r="AJ4">
        <v>579</v>
      </c>
      <c r="AK4" s="13">
        <v>0.25474000000000002</v>
      </c>
      <c r="AL4" s="10">
        <f t="shared" si="5"/>
        <v>147.49446</v>
      </c>
      <c r="AM4" s="14">
        <v>0.09</v>
      </c>
      <c r="AN4" s="10">
        <f t="shared" si="6"/>
        <v>13.2745014</v>
      </c>
      <c r="AO4" s="10">
        <f t="shared" si="7"/>
        <v>160.76896139999999</v>
      </c>
    </row>
    <row r="5" spans="1:41" x14ac:dyDescent="0.2">
      <c r="A5" t="s">
        <v>1121</v>
      </c>
      <c r="B5" t="s">
        <v>1308</v>
      </c>
      <c r="C5" t="s">
        <v>260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v>3100</v>
      </c>
      <c r="L5" s="9">
        <f>IF(A5="","",IFERROR(VLOOKUP(A5,Lists!$A:$H,7,FALSE),0))</f>
        <v>300</v>
      </c>
      <c r="M5" s="10">
        <f t="shared" si="0"/>
        <v>0</v>
      </c>
      <c r="P5" s="8" t="str">
        <f>IF(O5="","",VLOOKUP(O5,Lists!$E:$F,2,FALSE))</f>
        <v/>
      </c>
      <c r="AC5" s="10" t="str">
        <f t="shared" si="1"/>
        <v/>
      </c>
      <c r="AD5" s="11"/>
      <c r="AE5" s="10" t="str">
        <f t="shared" si="2"/>
        <v/>
      </c>
      <c r="AF5" s="10" t="str">
        <f t="shared" si="3"/>
        <v/>
      </c>
      <c r="AG5" t="s">
        <v>1314</v>
      </c>
      <c r="AH5" t="str">
        <f>IF(AG5="Elektra","kWh",IF(AG5="Gas","m³",IF(AG5="Water","m³","")))</f>
        <v>m³</v>
      </c>
      <c r="AI5" t="s">
        <v>1320</v>
      </c>
      <c r="AJ5">
        <f t="shared" si="4"/>
        <v>185</v>
      </c>
      <c r="AK5" s="13">
        <v>0.45800000000000002</v>
      </c>
      <c r="AL5" s="10">
        <f t="shared" si="5"/>
        <v>84.73</v>
      </c>
      <c r="AM5" s="14">
        <v>0.09</v>
      </c>
      <c r="AN5" s="10">
        <f t="shared" si="6"/>
        <v>7.6257000000000001</v>
      </c>
      <c r="AO5" s="10">
        <f t="shared" si="7"/>
        <v>92.355699999999999</v>
      </c>
    </row>
    <row r="6" spans="1:41" x14ac:dyDescent="0.2">
      <c r="A6" t="s">
        <v>1121</v>
      </c>
      <c r="B6" t="s">
        <v>1308</v>
      </c>
      <c r="C6" t="s">
        <v>260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v>3100</v>
      </c>
      <c r="L6" s="9">
        <f>IF(A6="","",IFERROR(VLOOKUP(A6,Lists!$A:$H,7,FALSE),0))</f>
        <v>300</v>
      </c>
      <c r="M6" s="10">
        <f t="shared" si="0"/>
        <v>0</v>
      </c>
      <c r="P6" s="8" t="str">
        <f>IF(O6="","",VLOOKUP(O6,Lists!$E:$F,2,FALSE))</f>
        <v/>
      </c>
      <c r="AC6" s="10" t="str">
        <f t="shared" si="1"/>
        <v/>
      </c>
      <c r="AD6" s="11"/>
      <c r="AE6" s="10" t="str">
        <f t="shared" si="2"/>
        <v/>
      </c>
      <c r="AF6" s="10" t="str">
        <f t="shared" si="3"/>
        <v/>
      </c>
      <c r="AG6" t="s">
        <v>1314</v>
      </c>
      <c r="AH6" t="str">
        <f t="shared" ref="AH6:AH11" si="9">IF(AG6="Elektra","kWh",IF(AG6="Gas","m³",IF(AG6="Water","m³","")))</f>
        <v>m³</v>
      </c>
      <c r="AI6" t="s">
        <v>1321</v>
      </c>
      <c r="AJ6">
        <f t="shared" si="4"/>
        <v>185</v>
      </c>
      <c r="AK6" s="13">
        <v>9.2299999999999993E-2</v>
      </c>
      <c r="AL6" s="10">
        <f t="shared" si="5"/>
        <v>17.075499999999998</v>
      </c>
      <c r="AM6" s="14">
        <v>0.09</v>
      </c>
      <c r="AN6" s="10">
        <f t="shared" si="6"/>
        <v>1.5367949999999997</v>
      </c>
      <c r="AO6" s="10">
        <f t="shared" si="7"/>
        <v>18.612294999999996</v>
      </c>
    </row>
    <row r="7" spans="1:41" x14ac:dyDescent="0.2">
      <c r="A7" t="s">
        <v>1121</v>
      </c>
      <c r="B7" t="s">
        <v>1308</v>
      </c>
      <c r="C7" t="s">
        <v>260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v>3100</v>
      </c>
      <c r="L7" s="9">
        <f>IF(A7="","",IFERROR(VLOOKUP(A7,Lists!$A:$H,7,FALSE),0))</f>
        <v>300</v>
      </c>
      <c r="M7" s="10">
        <f t="shared" si="0"/>
        <v>0</v>
      </c>
      <c r="P7" s="8" t="str">
        <f>IF(O7="","",VLOOKUP(O7,Lists!$E:$F,2,FALSE))</f>
        <v/>
      </c>
      <c r="AC7" s="10" t="str">
        <f t="shared" si="1"/>
        <v/>
      </c>
      <c r="AD7" s="11"/>
      <c r="AE7" s="10" t="str">
        <f t="shared" si="2"/>
        <v/>
      </c>
      <c r="AF7" s="10" t="str">
        <f t="shared" si="3"/>
        <v/>
      </c>
      <c r="AG7" t="s">
        <v>1315</v>
      </c>
      <c r="AH7" t="str">
        <f t="shared" si="9"/>
        <v>kWh</v>
      </c>
      <c r="AI7" t="s">
        <v>1322</v>
      </c>
      <c r="AJ7">
        <f t="shared" si="4"/>
        <v>3308</v>
      </c>
      <c r="AK7" s="13">
        <v>0.274476</v>
      </c>
      <c r="AL7" s="10">
        <f t="shared" si="5"/>
        <v>907.96660799999995</v>
      </c>
      <c r="AM7" s="14">
        <v>0.21</v>
      </c>
      <c r="AN7" s="10">
        <f t="shared" si="6"/>
        <v>190.67298767999998</v>
      </c>
      <c r="AO7" s="10">
        <f t="shared" si="7"/>
        <v>1098.63959568</v>
      </c>
    </row>
    <row r="8" spans="1:41" x14ac:dyDescent="0.2">
      <c r="A8" t="s">
        <v>1121</v>
      </c>
      <c r="B8" t="s">
        <v>1308</v>
      </c>
      <c r="C8" t="s">
        <v>260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v>3100</v>
      </c>
      <c r="L8" s="9">
        <f>IF(A8="","",IFERROR(VLOOKUP(A8,Lists!$A:$H,7,FALSE),0))</f>
        <v>300</v>
      </c>
      <c r="M8" s="10">
        <f t="shared" si="0"/>
        <v>0</v>
      </c>
      <c r="P8" s="8" t="str">
        <f>IF(O8="","",VLOOKUP(O8,Lists!$E:$F,2,FALSE))</f>
        <v/>
      </c>
      <c r="AC8" s="10" t="str">
        <f t="shared" si="1"/>
        <v/>
      </c>
      <c r="AD8" s="11"/>
      <c r="AE8" s="10" t="str">
        <f t="shared" si="2"/>
        <v/>
      </c>
      <c r="AF8" s="10" t="str">
        <f t="shared" si="3"/>
        <v/>
      </c>
      <c r="AG8" t="s">
        <v>1315</v>
      </c>
      <c r="AH8" t="s">
        <v>1317</v>
      </c>
      <c r="AI8" t="s">
        <v>1323</v>
      </c>
      <c r="AJ8">
        <v>579</v>
      </c>
      <c r="AK8" s="13">
        <v>0.39780799999999999</v>
      </c>
      <c r="AL8" s="10">
        <f t="shared" si="5"/>
        <v>230.33083199999999</v>
      </c>
      <c r="AM8" s="14">
        <v>0.21</v>
      </c>
      <c r="AN8" s="10">
        <f t="shared" si="6"/>
        <v>48.369474719999992</v>
      </c>
      <c r="AO8" s="10">
        <f t="shared" si="7"/>
        <v>278.70030671999996</v>
      </c>
    </row>
    <row r="9" spans="1:41" x14ac:dyDescent="0.2">
      <c r="A9" t="s">
        <v>1121</v>
      </c>
      <c r="B9" t="s">
        <v>1308</v>
      </c>
      <c r="C9" t="s">
        <v>260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v>3100</v>
      </c>
      <c r="L9" s="9">
        <f>IF(A9="","",IFERROR(VLOOKUP(A9,Lists!$A:$H,7,FALSE),0))</f>
        <v>300</v>
      </c>
      <c r="M9" s="10">
        <f t="shared" si="0"/>
        <v>0</v>
      </c>
      <c r="P9" s="8" t="str">
        <f>IF(O9="","",VLOOKUP(O9,Lists!$E:$F,2,FALSE))</f>
        <v/>
      </c>
      <c r="AC9" s="10" t="str">
        <f t="shared" si="1"/>
        <v/>
      </c>
      <c r="AD9" s="11"/>
      <c r="AE9" s="10" t="str">
        <f t="shared" si="2"/>
        <v/>
      </c>
      <c r="AF9" s="10" t="str">
        <f t="shared" si="3"/>
        <v/>
      </c>
      <c r="AG9" t="s">
        <v>1315</v>
      </c>
      <c r="AH9" t="s">
        <v>1317</v>
      </c>
      <c r="AI9" t="s">
        <v>1324</v>
      </c>
      <c r="AJ9">
        <v>579</v>
      </c>
      <c r="AK9" s="13">
        <v>-1.740245</v>
      </c>
      <c r="AL9" s="10">
        <f t="shared" si="5"/>
        <v>-1007.601855</v>
      </c>
      <c r="AM9" s="14">
        <v>0.21</v>
      </c>
      <c r="AN9" s="10">
        <f t="shared" si="6"/>
        <v>-211.59638955</v>
      </c>
      <c r="AO9" s="10">
        <f t="shared" si="7"/>
        <v>-1219.19824455</v>
      </c>
    </row>
    <row r="10" spans="1:41" x14ac:dyDescent="0.2">
      <c r="A10" t="s">
        <v>1121</v>
      </c>
      <c r="B10" t="s">
        <v>1308</v>
      </c>
      <c r="C10" t="s">
        <v>260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v>3100</v>
      </c>
      <c r="L10" s="9">
        <f>IF(A10="","",IFERROR(VLOOKUP(A10,Lists!$A:$H,7,FALSE),0))</f>
        <v>300</v>
      </c>
      <c r="M10" s="10">
        <f t="shared" si="0"/>
        <v>0</v>
      </c>
      <c r="P10" s="8" t="str">
        <f>IF(O10="","",VLOOKUP(O10,Lists!$E:$F,2,FALSE))</f>
        <v/>
      </c>
      <c r="AC10" s="10" t="str">
        <f t="shared" si="1"/>
        <v/>
      </c>
      <c r="AD10" s="11"/>
      <c r="AE10" s="10" t="str">
        <f t="shared" si="2"/>
        <v/>
      </c>
      <c r="AF10" s="10" t="str">
        <f t="shared" si="3"/>
        <v/>
      </c>
      <c r="AG10" t="s">
        <v>1315</v>
      </c>
      <c r="AH10" t="s">
        <v>1317</v>
      </c>
      <c r="AI10" t="s">
        <v>1325</v>
      </c>
      <c r="AJ10">
        <v>579</v>
      </c>
      <c r="AK10" s="13">
        <v>1.3038959999999999</v>
      </c>
      <c r="AL10" s="10">
        <f t="shared" si="5"/>
        <v>754.95578399999999</v>
      </c>
      <c r="AM10" s="14">
        <v>0.21</v>
      </c>
      <c r="AN10" s="10">
        <f t="shared" si="6"/>
        <v>158.54071464</v>
      </c>
      <c r="AO10" s="10">
        <f t="shared" si="7"/>
        <v>913.49649864000003</v>
      </c>
    </row>
    <row r="11" spans="1:41" x14ac:dyDescent="0.2">
      <c r="A11" t="s">
        <v>1121</v>
      </c>
      <c r="B11" t="s">
        <v>1308</v>
      </c>
      <c r="C11" t="s">
        <v>260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v>3100</v>
      </c>
      <c r="L11" s="9">
        <f>IF(A11="","",IFERROR(VLOOKUP(A11,Lists!$A:$H,7,FALSE),0))</f>
        <v>300</v>
      </c>
      <c r="M11" s="10">
        <f t="shared" si="0"/>
        <v>0</v>
      </c>
      <c r="P11" s="8" t="str">
        <f>IF(O11="","",VLOOKUP(O11,Lists!$E:$F,2,FALSE))</f>
        <v/>
      </c>
      <c r="AC11" s="10" t="str">
        <f t="shared" si="1"/>
        <v/>
      </c>
      <c r="AD11" s="11"/>
      <c r="AE11" s="10" t="str">
        <f t="shared" si="2"/>
        <v/>
      </c>
      <c r="AF11" s="10" t="str">
        <f t="shared" si="3"/>
        <v/>
      </c>
      <c r="AG11" t="s">
        <v>1316</v>
      </c>
      <c r="AH11" t="str">
        <f t="shared" si="9"/>
        <v>m³</v>
      </c>
      <c r="AI11" t="s">
        <v>1326</v>
      </c>
      <c r="AJ11">
        <f t="shared" si="4"/>
        <v>3406</v>
      </c>
      <c r="AK11" s="13">
        <v>1.287755</v>
      </c>
      <c r="AL11" s="10">
        <f t="shared" si="5"/>
        <v>4386.0935300000001</v>
      </c>
      <c r="AM11" s="14">
        <v>0.21</v>
      </c>
      <c r="AN11" s="10">
        <f t="shared" si="6"/>
        <v>921.07964129999993</v>
      </c>
      <c r="AO11" s="10">
        <f t="shared" si="7"/>
        <v>5307.1731712999999</v>
      </c>
    </row>
    <row r="12" spans="1:41" x14ac:dyDescent="0.2">
      <c r="A12" t="s">
        <v>1121</v>
      </c>
      <c r="B12" t="s">
        <v>1308</v>
      </c>
      <c r="C12" t="s">
        <v>260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v>3100</v>
      </c>
      <c r="L12" s="9">
        <f>IF(A12="","",IFERROR(VLOOKUP(A12,Lists!$A:$H,7,FALSE),0))</f>
        <v>300</v>
      </c>
      <c r="M12" s="10">
        <f t="shared" si="0"/>
        <v>0</v>
      </c>
      <c r="P12" s="8" t="str">
        <f>IF(O12="","",VLOOKUP(O12,Lists!$E:$F,2,FALSE))</f>
        <v/>
      </c>
      <c r="AC12" s="10" t="str">
        <f t="shared" si="1"/>
        <v/>
      </c>
      <c r="AD12" s="11"/>
      <c r="AE12" s="10" t="str">
        <f t="shared" si="2"/>
        <v/>
      </c>
      <c r="AF12" s="10" t="str">
        <f t="shared" si="3"/>
        <v/>
      </c>
      <c r="AG12" t="s">
        <v>1316</v>
      </c>
      <c r="AH12" t="s">
        <v>1317</v>
      </c>
      <c r="AI12" t="s">
        <v>1327</v>
      </c>
      <c r="AJ12">
        <v>579</v>
      </c>
      <c r="AK12" s="13">
        <v>0.29835600000000001</v>
      </c>
      <c r="AL12" s="10">
        <f t="shared" si="5"/>
        <v>172.74812400000002</v>
      </c>
      <c r="AM12" s="14">
        <v>0.21</v>
      </c>
      <c r="AN12" s="10">
        <f t="shared" si="6"/>
        <v>36.27710604</v>
      </c>
      <c r="AO12" s="10">
        <f t="shared" si="7"/>
        <v>209.02523004000003</v>
      </c>
    </row>
    <row r="13" spans="1:41" x14ac:dyDescent="0.2">
      <c r="A13" t="s">
        <v>1121</v>
      </c>
      <c r="B13" t="s">
        <v>1308</v>
      </c>
      <c r="C13" t="s">
        <v>260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v>3100</v>
      </c>
      <c r="L13" s="9">
        <f>IF(A13="","",IFERROR(VLOOKUP(A13,Lists!$A:$H,7,FALSE),0))</f>
        <v>300</v>
      </c>
      <c r="M13" s="10">
        <f t="shared" si="0"/>
        <v>0</v>
      </c>
      <c r="P13" s="8" t="str">
        <f>IF(O13="","",VLOOKUP(O13,Lists!$E:$F,2,FALSE))</f>
        <v/>
      </c>
      <c r="AC13" s="10" t="str">
        <f t="shared" si="1"/>
        <v/>
      </c>
      <c r="AD13" s="11"/>
      <c r="AE13" s="10" t="str">
        <f t="shared" si="2"/>
        <v/>
      </c>
      <c r="AF13" s="10" t="str">
        <f t="shared" si="3"/>
        <v/>
      </c>
      <c r="AG13" t="s">
        <v>1316</v>
      </c>
      <c r="AH13" t="s">
        <v>1317</v>
      </c>
      <c r="AI13" t="s">
        <v>1328</v>
      </c>
      <c r="AJ13">
        <v>579</v>
      </c>
      <c r="AK13" s="13">
        <v>0.67421200000000003</v>
      </c>
      <c r="AL13" s="10">
        <f t="shared" si="5"/>
        <v>390.36874800000004</v>
      </c>
      <c r="AM13" s="14">
        <v>0.21</v>
      </c>
      <c r="AN13" s="10">
        <f t="shared" si="6"/>
        <v>81.977437080000001</v>
      </c>
      <c r="AO13" s="10">
        <f t="shared" si="7"/>
        <v>472.34618508000005</v>
      </c>
    </row>
    <row r="14" spans="1:41" x14ac:dyDescent="0.2">
      <c r="A14" t="s">
        <v>1121</v>
      </c>
      <c r="B14" t="s">
        <v>1309</v>
      </c>
      <c r="C14" t="s">
        <v>260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v>3100</v>
      </c>
      <c r="L14" s="9">
        <f>IF(A14="","",IFERROR(VLOOKUP(A14,Lists!$A:$H,7,FALSE),0))</f>
        <v>300</v>
      </c>
      <c r="M14" s="10">
        <f t="shared" si="0"/>
        <v>0</v>
      </c>
      <c r="P14" s="8" t="str">
        <f>IF(O14="","",VLOOKUP(O14,Lists!$E:$F,2,FALSE))</f>
        <v/>
      </c>
      <c r="Z14" t="s">
        <v>1313</v>
      </c>
      <c r="AA14">
        <v>7</v>
      </c>
      <c r="AB14">
        <v>50</v>
      </c>
      <c r="AC14" s="10">
        <f t="shared" si="1"/>
        <v>350</v>
      </c>
      <c r="AD14" s="11">
        <v>0.21</v>
      </c>
      <c r="AE14" s="10">
        <f t="shared" si="2"/>
        <v>73.5</v>
      </c>
      <c r="AF14" s="10">
        <f t="shared" si="3"/>
        <v>423.5</v>
      </c>
      <c r="AJ14" t="str">
        <f t="shared" si="4"/>
        <v/>
      </c>
      <c r="AL14" s="10" t="str">
        <f t="shared" si="5"/>
        <v/>
      </c>
      <c r="AM14" s="11"/>
      <c r="AN14" s="10" t="str">
        <f t="shared" si="6"/>
        <v/>
      </c>
      <c r="AO14" s="10" t="str">
        <f t="shared" si="7"/>
        <v/>
      </c>
    </row>
    <row r="15" spans="1:41" x14ac:dyDescent="0.2">
      <c r="A15" t="s">
        <v>1121</v>
      </c>
      <c r="B15" t="s">
        <v>1310</v>
      </c>
      <c r="C15" t="s">
        <v>260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2">
        <v>45382</v>
      </c>
      <c r="I15" s="12">
        <v>45961</v>
      </c>
      <c r="J15" s="9">
        <v>3100</v>
      </c>
      <c r="K15" t="s">
        <v>1311</v>
      </c>
      <c r="L15" s="9">
        <f>IF(A15="","",IFERROR(VLOOKUP(A15,Lists!$A:$H,7,FALSE),0))</f>
        <v>300</v>
      </c>
      <c r="M15" s="10">
        <f t="shared" si="0"/>
        <v>5710.6849315068494</v>
      </c>
      <c r="N15" t="s">
        <v>1312</v>
      </c>
      <c r="O15" t="s">
        <v>1312</v>
      </c>
      <c r="P15" s="8">
        <f>IF(O15="","",VLOOKUP(O15,Lists!$E:$F,2,FALSE))</f>
        <v>2</v>
      </c>
      <c r="AC15" s="10" t="str">
        <f t="shared" si="1"/>
        <v/>
      </c>
      <c r="AD15" s="11"/>
      <c r="AE15" s="10" t="str">
        <f t="shared" si="2"/>
        <v/>
      </c>
      <c r="AF15" s="10" t="str">
        <f t="shared" si="3"/>
        <v/>
      </c>
      <c r="AJ15" t="str">
        <f t="shared" si="4"/>
        <v/>
      </c>
      <c r="AL15" s="10" t="str">
        <f t="shared" si="5"/>
        <v/>
      </c>
      <c r="AM15" s="11"/>
      <c r="AN15" s="10" t="str">
        <f t="shared" si="6"/>
        <v/>
      </c>
      <c r="AO15" s="10" t="str">
        <f t="shared" si="7"/>
        <v/>
      </c>
    </row>
    <row r="16" spans="1:41" x14ac:dyDescent="0.2">
      <c r="A16" t="s">
        <v>79</v>
      </c>
      <c r="B16" t="s">
        <v>1307</v>
      </c>
      <c r="C16" t="s">
        <v>59</v>
      </c>
      <c r="D16" s="8" t="str">
        <f>IF(A16="","",VLOOKUP(A16,Lists!$A:$B,2,FALSE))</f>
        <v>0190</v>
      </c>
      <c r="E16" s="8">
        <f>IF(C16="","",VLOOKUP(C16,Lists!$C:$D,2,FALSE))</f>
        <v>94</v>
      </c>
      <c r="F16" s="8"/>
      <c r="G16" s="8"/>
      <c r="J16" s="9">
        <f>IF(A16="","",IFERROR(VLOOKUP(A16,Lists!$A:$H,8,FALSE),0))</f>
        <v>2255</v>
      </c>
      <c r="L16" s="9">
        <f>IF(A16="","",IFERROR(VLOOKUP(A16,Lists!$A:$H,7,FALSE),0))</f>
        <v>500</v>
      </c>
      <c r="M16" s="10">
        <f t="shared" si="0"/>
        <v>0</v>
      </c>
      <c r="P16" s="8" t="str">
        <f>IF(O16="","",VLOOKUP(O16,Lists!$E:$F,2,FALSE))</f>
        <v/>
      </c>
      <c r="AC16" s="10" t="str">
        <f t="shared" si="1"/>
        <v/>
      </c>
      <c r="AD16" s="11"/>
      <c r="AE16" s="10" t="str">
        <f t="shared" si="2"/>
        <v/>
      </c>
      <c r="AF16" s="10" t="str">
        <f t="shared" si="3"/>
        <v/>
      </c>
      <c r="AJ16" t="str">
        <f t="shared" si="4"/>
        <v/>
      </c>
      <c r="AL16" s="10" t="str">
        <f t="shared" si="5"/>
        <v/>
      </c>
      <c r="AM16" s="11"/>
      <c r="AN16" s="10" t="str">
        <f t="shared" si="6"/>
        <v/>
      </c>
      <c r="AO16" s="10" t="str">
        <f t="shared" si="7"/>
        <v/>
      </c>
    </row>
    <row r="17" spans="4:41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f t="shared" si="0"/>
        <v>0</v>
      </c>
      <c r="P17" s="8" t="str">
        <f>IF(O17="","",VLOOKUP(O17,Lists!$E:$F,2,FALSE))</f>
        <v/>
      </c>
      <c r="AC17" s="10" t="str">
        <f t="shared" si="1"/>
        <v/>
      </c>
      <c r="AD17" s="11"/>
      <c r="AE17" s="10" t="str">
        <f t="shared" si="2"/>
        <v/>
      </c>
      <c r="AF17" s="10" t="str">
        <f t="shared" si="3"/>
        <v/>
      </c>
      <c r="AJ17" t="str">
        <f t="shared" si="4"/>
        <v/>
      </c>
      <c r="AL17" s="10" t="str">
        <f t="shared" si="5"/>
        <v/>
      </c>
      <c r="AM17" s="11"/>
      <c r="AN17" s="10" t="str">
        <f t="shared" si="6"/>
        <v/>
      </c>
      <c r="AO17" s="10" t="str">
        <f t="shared" si="7"/>
        <v/>
      </c>
    </row>
    <row r="18" spans="4:41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f t="shared" si="0"/>
        <v>0</v>
      </c>
      <c r="P18" s="8" t="str">
        <f>IF(O18="","",VLOOKUP(O18,Lists!$E:$F,2,FALSE))</f>
        <v/>
      </c>
      <c r="AC18" s="10" t="str">
        <f t="shared" si="1"/>
        <v/>
      </c>
      <c r="AD18" s="11"/>
      <c r="AE18" s="10" t="str">
        <f t="shared" si="2"/>
        <v/>
      </c>
      <c r="AF18" s="10" t="str">
        <f t="shared" si="3"/>
        <v/>
      </c>
      <c r="AJ18" t="str">
        <f t="shared" si="4"/>
        <v/>
      </c>
      <c r="AL18" s="10" t="str">
        <f t="shared" si="5"/>
        <v/>
      </c>
      <c r="AM18" s="11"/>
      <c r="AN18" s="10" t="str">
        <f t="shared" si="6"/>
        <v/>
      </c>
      <c r="AO18" s="10" t="str">
        <f t="shared" si="7"/>
        <v/>
      </c>
    </row>
    <row r="19" spans="4:41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f t="shared" si="0"/>
        <v>0</v>
      </c>
      <c r="P19" s="8" t="str">
        <f>IF(O19="","",VLOOKUP(O19,Lists!$E:$F,2,FALSE))</f>
        <v/>
      </c>
      <c r="AC19" s="10" t="str">
        <f t="shared" si="1"/>
        <v/>
      </c>
      <c r="AD19" s="11"/>
      <c r="AE19" s="10" t="str">
        <f t="shared" si="2"/>
        <v/>
      </c>
      <c r="AF19" s="10" t="str">
        <f t="shared" si="3"/>
        <v/>
      </c>
      <c r="AJ19" t="str">
        <f t="shared" si="4"/>
        <v/>
      </c>
      <c r="AL19" s="10" t="str">
        <f t="shared" si="5"/>
        <v/>
      </c>
      <c r="AM19" s="11"/>
      <c r="AN19" s="10" t="str">
        <f t="shared" si="6"/>
        <v/>
      </c>
      <c r="AO19" s="10" t="str">
        <f t="shared" si="7"/>
        <v/>
      </c>
    </row>
    <row r="20" spans="4:41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f t="shared" si="0"/>
        <v>0</v>
      </c>
      <c r="P20" s="8" t="str">
        <f>IF(O20="","",VLOOKUP(O20,Lists!$E:$F,2,FALSE))</f>
        <v/>
      </c>
      <c r="AC20" s="10" t="str">
        <f t="shared" si="1"/>
        <v/>
      </c>
      <c r="AD20" s="11"/>
      <c r="AE20" s="10" t="str">
        <f t="shared" si="2"/>
        <v/>
      </c>
      <c r="AF20" s="10" t="str">
        <f t="shared" si="3"/>
        <v/>
      </c>
      <c r="AJ20" t="str">
        <f t="shared" si="4"/>
        <v/>
      </c>
      <c r="AL20" s="10" t="str">
        <f t="shared" si="5"/>
        <v/>
      </c>
      <c r="AM20" s="11"/>
      <c r="AN20" s="10" t="str">
        <f t="shared" si="6"/>
        <v/>
      </c>
      <c r="AO20" s="10" t="str">
        <f t="shared" si="7"/>
        <v/>
      </c>
    </row>
    <row r="21" spans="4:41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f t="shared" si="0"/>
        <v>0</v>
      </c>
      <c r="P21" s="8" t="str">
        <f>IF(O21="","",VLOOKUP(O21,Lists!$E:$F,2,FALSE))</f>
        <v/>
      </c>
      <c r="AC21" s="10" t="str">
        <f t="shared" si="1"/>
        <v/>
      </c>
      <c r="AD21" s="11"/>
      <c r="AE21" s="10" t="str">
        <f t="shared" si="2"/>
        <v/>
      </c>
      <c r="AF21" s="10" t="str">
        <f t="shared" si="3"/>
        <v/>
      </c>
      <c r="AJ21" t="str">
        <f t="shared" si="4"/>
        <v/>
      </c>
      <c r="AL21" s="10" t="str">
        <f t="shared" si="5"/>
        <v/>
      </c>
      <c r="AM21" s="11"/>
      <c r="AN21" s="10" t="str">
        <f t="shared" si="6"/>
        <v/>
      </c>
      <c r="AO21" s="10" t="str">
        <f t="shared" si="7"/>
        <v/>
      </c>
    </row>
    <row r="22" spans="4:41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f t="shared" si="0"/>
        <v>0</v>
      </c>
      <c r="P22" s="8" t="str">
        <f>IF(O22="","",VLOOKUP(O22,Lists!$E:$F,2,FALSE))</f>
        <v/>
      </c>
      <c r="AC22" s="10" t="str">
        <f t="shared" si="1"/>
        <v/>
      </c>
      <c r="AD22" s="11"/>
      <c r="AE22" s="10" t="str">
        <f t="shared" si="2"/>
        <v/>
      </c>
      <c r="AF22" s="10" t="str">
        <f t="shared" si="3"/>
        <v/>
      </c>
      <c r="AJ22" t="str">
        <f t="shared" si="4"/>
        <v/>
      </c>
      <c r="AL22" s="10" t="str">
        <f t="shared" si="5"/>
        <v/>
      </c>
      <c r="AM22" s="11"/>
      <c r="AN22" s="10" t="str">
        <f t="shared" si="6"/>
        <v/>
      </c>
      <c r="AO22" s="10" t="str">
        <f t="shared" si="7"/>
        <v/>
      </c>
    </row>
    <row r="23" spans="4:41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f t="shared" si="0"/>
        <v>0</v>
      </c>
      <c r="P23" s="8" t="str">
        <f>IF(O23="","",VLOOKUP(O23,Lists!$E:$F,2,FALSE))</f>
        <v/>
      </c>
      <c r="AC23" s="10" t="str">
        <f t="shared" si="1"/>
        <v/>
      </c>
      <c r="AD23" s="11"/>
      <c r="AE23" s="10" t="str">
        <f t="shared" si="2"/>
        <v/>
      </c>
      <c r="AF23" s="10" t="str">
        <f t="shared" si="3"/>
        <v/>
      </c>
      <c r="AJ23" t="str">
        <f t="shared" si="4"/>
        <v/>
      </c>
      <c r="AL23" s="10" t="str">
        <f t="shared" si="5"/>
        <v/>
      </c>
      <c r="AM23" s="11"/>
      <c r="AN23" s="10" t="str">
        <f t="shared" si="6"/>
        <v/>
      </c>
      <c r="AO23" s="10" t="str">
        <f t="shared" si="7"/>
        <v/>
      </c>
    </row>
    <row r="24" spans="4:41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f t="shared" si="0"/>
        <v>0</v>
      </c>
      <c r="P24" s="8" t="str">
        <f>IF(O24="","",VLOOKUP(O24,Lists!$E:$F,2,FALSE))</f>
        <v/>
      </c>
      <c r="AC24" s="10" t="str">
        <f t="shared" si="1"/>
        <v/>
      </c>
      <c r="AD24" s="11"/>
      <c r="AE24" s="10" t="str">
        <f t="shared" si="2"/>
        <v/>
      </c>
      <c r="AF24" s="10" t="str">
        <f t="shared" si="3"/>
        <v/>
      </c>
      <c r="AJ24" t="str">
        <f t="shared" si="4"/>
        <v/>
      </c>
      <c r="AL24" s="10" t="str">
        <f t="shared" si="5"/>
        <v/>
      </c>
      <c r="AM24" s="11"/>
      <c r="AN24" s="10" t="str">
        <f t="shared" si="6"/>
        <v/>
      </c>
      <c r="AO24" s="10" t="str">
        <f t="shared" si="7"/>
        <v/>
      </c>
    </row>
    <row r="25" spans="4:41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f t="shared" si="0"/>
        <v>0</v>
      </c>
      <c r="P25" s="8" t="str">
        <f>IF(O25="","",VLOOKUP(O25,Lists!$E:$F,2,FALSE))</f>
        <v/>
      </c>
      <c r="AC25" s="10" t="str">
        <f t="shared" si="1"/>
        <v/>
      </c>
      <c r="AD25" s="11"/>
      <c r="AE25" s="10" t="str">
        <f t="shared" si="2"/>
        <v/>
      </c>
      <c r="AF25" s="10" t="str">
        <f t="shared" si="3"/>
        <v/>
      </c>
      <c r="AJ25" t="str">
        <f t="shared" si="4"/>
        <v/>
      </c>
      <c r="AL25" s="10" t="str">
        <f t="shared" si="5"/>
        <v/>
      </c>
      <c r="AM25" s="11"/>
      <c r="AN25" s="10" t="str">
        <f t="shared" si="6"/>
        <v/>
      </c>
      <c r="AO25" s="10" t="str">
        <f t="shared" si="7"/>
        <v/>
      </c>
    </row>
    <row r="26" spans="4:41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f t="shared" si="0"/>
        <v>0</v>
      </c>
      <c r="P26" s="8" t="str">
        <f>IF(O26="","",VLOOKUP(O26,Lists!$E:$F,2,FALSE))</f>
        <v/>
      </c>
      <c r="AC26" s="10" t="str">
        <f t="shared" si="1"/>
        <v/>
      </c>
      <c r="AD26" s="11"/>
      <c r="AE26" s="10" t="str">
        <f t="shared" si="2"/>
        <v/>
      </c>
      <c r="AF26" s="10" t="str">
        <f t="shared" si="3"/>
        <v/>
      </c>
      <c r="AJ26" t="str">
        <f t="shared" si="4"/>
        <v/>
      </c>
      <c r="AL26" s="10" t="str">
        <f t="shared" si="5"/>
        <v/>
      </c>
      <c r="AM26" s="11"/>
      <c r="AN26" s="10" t="str">
        <f t="shared" si="6"/>
        <v/>
      </c>
      <c r="AO26" s="10" t="str">
        <f t="shared" si="7"/>
        <v/>
      </c>
    </row>
    <row r="27" spans="4:41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f t="shared" si="0"/>
        <v>0</v>
      </c>
      <c r="P27" s="8" t="str">
        <f>IF(O27="","",VLOOKUP(O27,Lists!$E:$F,2,FALSE))</f>
        <v/>
      </c>
      <c r="AC27" s="10" t="str">
        <f t="shared" si="1"/>
        <v/>
      </c>
      <c r="AD27" s="11"/>
      <c r="AE27" s="10" t="str">
        <f t="shared" si="2"/>
        <v/>
      </c>
      <c r="AF27" s="10" t="str">
        <f t="shared" si="3"/>
        <v/>
      </c>
      <c r="AJ27" t="str">
        <f t="shared" si="4"/>
        <v/>
      </c>
      <c r="AL27" s="10" t="str">
        <f t="shared" si="5"/>
        <v/>
      </c>
      <c r="AM27" s="11"/>
      <c r="AN27" s="10" t="str">
        <f t="shared" si="6"/>
        <v/>
      </c>
      <c r="AO27" s="10" t="str">
        <f t="shared" si="7"/>
        <v/>
      </c>
    </row>
    <row r="28" spans="4:41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f t="shared" si="0"/>
        <v>0</v>
      </c>
      <c r="P28" s="8" t="str">
        <f>IF(O28="","",VLOOKUP(O28,Lists!$E:$F,2,FALSE))</f>
        <v/>
      </c>
      <c r="AC28" s="10" t="str">
        <f t="shared" si="1"/>
        <v/>
      </c>
      <c r="AD28" s="11"/>
      <c r="AE28" s="10" t="str">
        <f t="shared" si="2"/>
        <v/>
      </c>
      <c r="AF28" s="10" t="str">
        <f t="shared" si="3"/>
        <v/>
      </c>
      <c r="AJ28" t="str">
        <f t="shared" si="4"/>
        <v/>
      </c>
      <c r="AL28" s="10" t="str">
        <f t="shared" si="5"/>
        <v/>
      </c>
      <c r="AM28" s="11"/>
      <c r="AN28" s="10" t="str">
        <f t="shared" si="6"/>
        <v/>
      </c>
      <c r="AO28" s="10" t="str">
        <f t="shared" si="7"/>
        <v/>
      </c>
    </row>
    <row r="29" spans="4:41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f t="shared" si="0"/>
        <v>0</v>
      </c>
      <c r="P29" s="8" t="str">
        <f>IF(O29="","",VLOOKUP(O29,Lists!$E:$F,2,FALSE))</f>
        <v/>
      </c>
      <c r="AC29" s="10" t="str">
        <f t="shared" si="1"/>
        <v/>
      </c>
      <c r="AD29" s="11"/>
      <c r="AE29" s="10" t="str">
        <f t="shared" si="2"/>
        <v/>
      </c>
      <c r="AF29" s="10" t="str">
        <f t="shared" si="3"/>
        <v/>
      </c>
      <c r="AJ29" t="str">
        <f t="shared" si="4"/>
        <v/>
      </c>
      <c r="AL29" s="10" t="str">
        <f t="shared" si="5"/>
        <v/>
      </c>
      <c r="AM29" s="11"/>
      <c r="AN29" s="10" t="str">
        <f t="shared" si="6"/>
        <v/>
      </c>
      <c r="AO29" s="10" t="str">
        <f t="shared" si="7"/>
        <v/>
      </c>
    </row>
    <row r="30" spans="4:41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f t="shared" si="0"/>
        <v>0</v>
      </c>
      <c r="P30" s="8" t="str">
        <f>IF(O30="","",VLOOKUP(O30,Lists!$E:$F,2,FALSE))</f>
        <v/>
      </c>
      <c r="AC30" s="10" t="str">
        <f t="shared" si="1"/>
        <v/>
      </c>
      <c r="AD30" s="11"/>
      <c r="AE30" s="10" t="str">
        <f t="shared" si="2"/>
        <v/>
      </c>
      <c r="AF30" s="10" t="str">
        <f t="shared" si="3"/>
        <v/>
      </c>
      <c r="AJ30" t="str">
        <f t="shared" si="4"/>
        <v/>
      </c>
      <c r="AL30" s="10" t="str">
        <f t="shared" si="5"/>
        <v/>
      </c>
      <c r="AM30" s="11"/>
      <c r="AN30" s="10" t="str">
        <f t="shared" si="6"/>
        <v/>
      </c>
      <c r="AO30" s="10" t="str">
        <f t="shared" si="7"/>
        <v/>
      </c>
    </row>
    <row r="31" spans="4:41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f t="shared" si="0"/>
        <v>0</v>
      </c>
      <c r="P31" s="8" t="str">
        <f>IF(O31="","",VLOOKUP(O31,Lists!$E:$F,2,FALSE))</f>
        <v/>
      </c>
      <c r="AC31" s="10" t="str">
        <f t="shared" si="1"/>
        <v/>
      </c>
      <c r="AD31" s="11"/>
      <c r="AE31" s="10" t="str">
        <f t="shared" si="2"/>
        <v/>
      </c>
      <c r="AF31" s="10" t="str">
        <f t="shared" si="3"/>
        <v/>
      </c>
      <c r="AJ31" t="str">
        <f t="shared" si="4"/>
        <v/>
      </c>
      <c r="AL31" s="10" t="str">
        <f t="shared" si="5"/>
        <v/>
      </c>
      <c r="AM31" s="11"/>
      <c r="AN31" s="10" t="str">
        <f t="shared" si="6"/>
        <v/>
      </c>
      <c r="AO31" s="10" t="str">
        <f t="shared" si="7"/>
        <v/>
      </c>
    </row>
    <row r="32" spans="4:41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f t="shared" si="0"/>
        <v>0</v>
      </c>
      <c r="P32" s="8" t="str">
        <f>IF(O32="","",VLOOKUP(O32,Lists!$E:$F,2,FALSE))</f>
        <v/>
      </c>
      <c r="AC32" s="10" t="str">
        <f t="shared" si="1"/>
        <v/>
      </c>
      <c r="AD32" s="11"/>
      <c r="AE32" s="10" t="str">
        <f t="shared" si="2"/>
        <v/>
      </c>
      <c r="AF32" s="10" t="str">
        <f t="shared" si="3"/>
        <v/>
      </c>
      <c r="AJ32" t="str">
        <f t="shared" si="4"/>
        <v/>
      </c>
      <c r="AL32" s="10" t="str">
        <f t="shared" si="5"/>
        <v/>
      </c>
      <c r="AM32" s="11"/>
      <c r="AN32" s="10" t="str">
        <f t="shared" si="6"/>
        <v/>
      </c>
      <c r="AO32" s="10" t="str">
        <f t="shared" si="7"/>
        <v/>
      </c>
    </row>
    <row r="33" spans="4:41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f t="shared" si="0"/>
        <v>0</v>
      </c>
      <c r="P33" s="8" t="str">
        <f>IF(O33="","",VLOOKUP(O33,Lists!$E:$F,2,FALSE))</f>
        <v/>
      </c>
      <c r="AC33" s="10" t="str">
        <f t="shared" si="1"/>
        <v/>
      </c>
      <c r="AD33" s="11"/>
      <c r="AE33" s="10" t="str">
        <f t="shared" si="2"/>
        <v/>
      </c>
      <c r="AF33" s="10" t="str">
        <f t="shared" si="3"/>
        <v/>
      </c>
      <c r="AJ33" t="str">
        <f t="shared" si="4"/>
        <v/>
      </c>
      <c r="AL33" s="10" t="str">
        <f t="shared" si="5"/>
        <v/>
      </c>
      <c r="AM33" s="11"/>
      <c r="AN33" s="10" t="str">
        <f t="shared" si="6"/>
        <v/>
      </c>
      <c r="AO33" s="10" t="str">
        <f t="shared" si="7"/>
        <v/>
      </c>
    </row>
    <row r="34" spans="4:41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f t="shared" ref="M34:M65" si="10">IF(K34="Eigen Beheer",0,IF(AND(ISNUMBER(L34),I34&lt;&gt;"",H34&lt;&gt;""),(L34*12/365)*(I34-H34),0))</f>
        <v>0</v>
      </c>
      <c r="P34" s="8" t="str">
        <f>IF(O34="","",VLOOKUP(O34,Lists!$E:$F,2,FALSE))</f>
        <v/>
      </c>
      <c r="AC34" s="10" t="str">
        <f t="shared" ref="AC34:AC65" si="11">IF(AND(AA34&lt;&gt;"",AB34&lt;&gt;""),AA34*AB34,"")</f>
        <v/>
      </c>
      <c r="AD34" s="11"/>
      <c r="AE34" s="10" t="str">
        <f t="shared" ref="AE34:AE65" si="12">IF(AND(AC34&lt;&gt;"",AD34&lt;&gt;""),AC34*AD34,"")</f>
        <v/>
      </c>
      <c r="AF34" s="10" t="str">
        <f t="shared" ref="AF34:AF65" si="13">IF(AND(AC34&lt;&gt;"",AE34&lt;&gt;""),AC34+AE34,"")</f>
        <v/>
      </c>
      <c r="AJ34" t="str">
        <f t="shared" ref="AJ34:AJ65" si="14">IF($B34="GWE_Item",IF($AG34="Elektra",SUMIFS($U:$U,$A:$A,$A34,$B:$B,"GWE")-SUMIFS($T:$T,$A:$A,$A34,$B:$B,"GWE"),IF($AG34="Gas",SUMIFS($W:$W,$A:$A,$A34,$B:$B,"GWE")-SUMIFS($V:$V,$A:$A,$A34,$B:$B,"GWE"),IF($AG34="Water",SUMIFS($Y:$Y,$A:$A,$A34,$B:$B,"GWE")-SUMIFS($X:$X,$A:$A,$A34,$B:$B,"GWE"),""))),"")</f>
        <v/>
      </c>
      <c r="AL34" s="10" t="str">
        <f t="shared" ref="AL34:AL65" si="15">IF(AND(AJ34&lt;&gt;"",AK34&lt;&gt;""),AJ34*AK34,"")</f>
        <v/>
      </c>
      <c r="AM34" s="11"/>
      <c r="AN34" s="10" t="str">
        <f t="shared" ref="AN34:AN65" si="16">IF(AND(AL34&lt;&gt;"",AM34&lt;&gt;""),AL34*AM34,"")</f>
        <v/>
      </c>
      <c r="AO34" s="10" t="str">
        <f t="shared" ref="AO34:AO65" si="17">IF(AND(AL34&lt;&gt;"",AN34&lt;&gt;""),AL34+AN34,"")</f>
        <v/>
      </c>
    </row>
    <row r="35" spans="4:41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f t="shared" si="10"/>
        <v>0</v>
      </c>
      <c r="P35" s="8" t="str">
        <f>IF(O35="","",VLOOKUP(O35,Lists!$E:$F,2,FALSE))</f>
        <v/>
      </c>
      <c r="AC35" s="10" t="str">
        <f t="shared" si="11"/>
        <v/>
      </c>
      <c r="AD35" s="11"/>
      <c r="AE35" s="10" t="str">
        <f t="shared" si="12"/>
        <v/>
      </c>
      <c r="AF35" s="10" t="str">
        <f t="shared" si="13"/>
        <v/>
      </c>
      <c r="AJ35" t="str">
        <f t="shared" si="14"/>
        <v/>
      </c>
      <c r="AL35" s="10" t="str">
        <f t="shared" si="15"/>
        <v/>
      </c>
      <c r="AM35" s="11"/>
      <c r="AN35" s="10" t="str">
        <f t="shared" si="16"/>
        <v/>
      </c>
      <c r="AO35" s="10" t="str">
        <f t="shared" si="17"/>
        <v/>
      </c>
    </row>
    <row r="36" spans="4:41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f t="shared" si="10"/>
        <v>0</v>
      </c>
      <c r="P36" s="8" t="str">
        <f>IF(O36="","",VLOOKUP(O36,Lists!$E:$F,2,FALSE))</f>
        <v/>
      </c>
      <c r="AC36" s="10" t="str">
        <f t="shared" si="11"/>
        <v/>
      </c>
      <c r="AD36" s="11"/>
      <c r="AE36" s="10" t="str">
        <f t="shared" si="12"/>
        <v/>
      </c>
      <c r="AF36" s="10" t="str">
        <f t="shared" si="13"/>
        <v/>
      </c>
      <c r="AJ36" t="str">
        <f t="shared" si="14"/>
        <v/>
      </c>
      <c r="AL36" s="10" t="str">
        <f t="shared" si="15"/>
        <v/>
      </c>
      <c r="AM36" s="11"/>
      <c r="AN36" s="10" t="str">
        <f t="shared" si="16"/>
        <v/>
      </c>
      <c r="AO36" s="10" t="str">
        <f t="shared" si="17"/>
        <v/>
      </c>
    </row>
    <row r="37" spans="4:41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f t="shared" si="10"/>
        <v>0</v>
      </c>
      <c r="P37" s="8" t="str">
        <f>IF(O37="","",VLOOKUP(O37,Lists!$E:$F,2,FALSE))</f>
        <v/>
      </c>
      <c r="AC37" s="10" t="str">
        <f t="shared" si="11"/>
        <v/>
      </c>
      <c r="AD37" s="11"/>
      <c r="AE37" s="10" t="str">
        <f t="shared" si="12"/>
        <v/>
      </c>
      <c r="AF37" s="10" t="str">
        <f t="shared" si="13"/>
        <v/>
      </c>
      <c r="AJ37" t="str">
        <f t="shared" si="14"/>
        <v/>
      </c>
      <c r="AL37" s="10" t="str">
        <f t="shared" si="15"/>
        <v/>
      </c>
      <c r="AM37" s="11"/>
      <c r="AN37" s="10" t="str">
        <f t="shared" si="16"/>
        <v/>
      </c>
      <c r="AO37" s="10" t="str">
        <f t="shared" si="17"/>
        <v/>
      </c>
    </row>
    <row r="38" spans="4:41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f t="shared" si="10"/>
        <v>0</v>
      </c>
      <c r="P38" s="8" t="str">
        <f>IF(O38="","",VLOOKUP(O38,Lists!$E:$F,2,FALSE))</f>
        <v/>
      </c>
      <c r="AC38" s="10" t="str">
        <f t="shared" si="11"/>
        <v/>
      </c>
      <c r="AD38" s="11"/>
      <c r="AE38" s="10" t="str">
        <f t="shared" si="12"/>
        <v/>
      </c>
      <c r="AF38" s="10" t="str">
        <f t="shared" si="13"/>
        <v/>
      </c>
      <c r="AJ38" t="str">
        <f t="shared" si="14"/>
        <v/>
      </c>
      <c r="AL38" s="10" t="str">
        <f t="shared" si="15"/>
        <v/>
      </c>
      <c r="AM38" s="11"/>
      <c r="AN38" s="10" t="str">
        <f t="shared" si="16"/>
        <v/>
      </c>
      <c r="AO38" s="10" t="str">
        <f t="shared" si="17"/>
        <v/>
      </c>
    </row>
    <row r="39" spans="4:41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f t="shared" si="10"/>
        <v>0</v>
      </c>
      <c r="P39" s="8" t="str">
        <f>IF(O39="","",VLOOKUP(O39,Lists!$E:$F,2,FALSE))</f>
        <v/>
      </c>
      <c r="AC39" s="10" t="str">
        <f t="shared" si="11"/>
        <v/>
      </c>
      <c r="AD39" s="11"/>
      <c r="AE39" s="10" t="str">
        <f t="shared" si="12"/>
        <v/>
      </c>
      <c r="AF39" s="10" t="str">
        <f t="shared" si="13"/>
        <v/>
      </c>
      <c r="AJ39" t="str">
        <f t="shared" si="14"/>
        <v/>
      </c>
      <c r="AL39" s="10" t="str">
        <f t="shared" si="15"/>
        <v/>
      </c>
      <c r="AM39" s="11"/>
      <c r="AN39" s="10" t="str">
        <f t="shared" si="16"/>
        <v/>
      </c>
      <c r="AO39" s="10" t="str">
        <f t="shared" si="17"/>
        <v/>
      </c>
    </row>
    <row r="40" spans="4:41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f t="shared" si="10"/>
        <v>0</v>
      </c>
      <c r="P40" s="8" t="str">
        <f>IF(O40="","",VLOOKUP(O40,Lists!$E:$F,2,FALSE))</f>
        <v/>
      </c>
      <c r="AC40" s="10" t="str">
        <f t="shared" si="11"/>
        <v/>
      </c>
      <c r="AD40" s="11"/>
      <c r="AE40" s="10" t="str">
        <f t="shared" si="12"/>
        <v/>
      </c>
      <c r="AF40" s="10" t="str">
        <f t="shared" si="13"/>
        <v/>
      </c>
      <c r="AJ40" t="str">
        <f t="shared" si="14"/>
        <v/>
      </c>
      <c r="AL40" s="10" t="str">
        <f t="shared" si="15"/>
        <v/>
      </c>
      <c r="AM40" s="11"/>
      <c r="AN40" s="10" t="str">
        <f t="shared" si="16"/>
        <v/>
      </c>
      <c r="AO40" s="10" t="str">
        <f t="shared" si="17"/>
        <v/>
      </c>
    </row>
    <row r="41" spans="4:41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f t="shared" si="10"/>
        <v>0</v>
      </c>
      <c r="P41" s="8" t="str">
        <f>IF(O41="","",VLOOKUP(O41,Lists!$E:$F,2,FALSE))</f>
        <v/>
      </c>
      <c r="AC41" s="10" t="str">
        <f t="shared" si="11"/>
        <v/>
      </c>
      <c r="AD41" s="11"/>
      <c r="AE41" s="10" t="str">
        <f t="shared" si="12"/>
        <v/>
      </c>
      <c r="AF41" s="10" t="str">
        <f t="shared" si="13"/>
        <v/>
      </c>
      <c r="AJ41" t="str">
        <f t="shared" si="14"/>
        <v/>
      </c>
      <c r="AL41" s="10" t="str">
        <f t="shared" si="15"/>
        <v/>
      </c>
      <c r="AM41" s="11"/>
      <c r="AN41" s="10" t="str">
        <f t="shared" si="16"/>
        <v/>
      </c>
      <c r="AO41" s="10" t="str">
        <f t="shared" si="17"/>
        <v/>
      </c>
    </row>
    <row r="42" spans="4:41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f t="shared" si="10"/>
        <v>0</v>
      </c>
      <c r="P42" s="8" t="str">
        <f>IF(O42="","",VLOOKUP(O42,Lists!$E:$F,2,FALSE))</f>
        <v/>
      </c>
      <c r="AC42" s="10" t="str">
        <f t="shared" si="11"/>
        <v/>
      </c>
      <c r="AD42" s="11"/>
      <c r="AE42" s="10" t="str">
        <f t="shared" si="12"/>
        <v/>
      </c>
      <c r="AF42" s="10" t="str">
        <f t="shared" si="13"/>
        <v/>
      </c>
      <c r="AJ42" t="str">
        <f t="shared" si="14"/>
        <v/>
      </c>
      <c r="AL42" s="10" t="str">
        <f t="shared" si="15"/>
        <v/>
      </c>
      <c r="AM42" s="11"/>
      <c r="AN42" s="10" t="str">
        <f t="shared" si="16"/>
        <v/>
      </c>
      <c r="AO42" s="10" t="str">
        <f t="shared" si="17"/>
        <v/>
      </c>
    </row>
    <row r="43" spans="4:41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f t="shared" si="10"/>
        <v>0</v>
      </c>
      <c r="P43" s="8" t="str">
        <f>IF(O43="","",VLOOKUP(O43,Lists!$E:$F,2,FALSE))</f>
        <v/>
      </c>
      <c r="AC43" s="10" t="str">
        <f t="shared" si="11"/>
        <v/>
      </c>
      <c r="AD43" s="11"/>
      <c r="AE43" s="10" t="str">
        <f t="shared" si="12"/>
        <v/>
      </c>
      <c r="AF43" s="10" t="str">
        <f t="shared" si="13"/>
        <v/>
      </c>
      <c r="AJ43" t="str">
        <f t="shared" si="14"/>
        <v/>
      </c>
      <c r="AL43" s="10" t="str">
        <f t="shared" si="15"/>
        <v/>
      </c>
      <c r="AM43" s="11"/>
      <c r="AN43" s="10" t="str">
        <f t="shared" si="16"/>
        <v/>
      </c>
      <c r="AO43" s="10" t="str">
        <f t="shared" si="17"/>
        <v/>
      </c>
    </row>
    <row r="44" spans="4:41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f t="shared" si="10"/>
        <v>0</v>
      </c>
      <c r="P44" s="8" t="str">
        <f>IF(O44="","",VLOOKUP(O44,Lists!$E:$F,2,FALSE))</f>
        <v/>
      </c>
      <c r="AC44" s="10" t="str">
        <f t="shared" si="11"/>
        <v/>
      </c>
      <c r="AD44" s="11"/>
      <c r="AE44" s="10" t="str">
        <f t="shared" si="12"/>
        <v/>
      </c>
      <c r="AF44" s="10" t="str">
        <f t="shared" si="13"/>
        <v/>
      </c>
      <c r="AJ44" t="str">
        <f t="shared" si="14"/>
        <v/>
      </c>
      <c r="AL44" s="10" t="str">
        <f t="shared" si="15"/>
        <v/>
      </c>
      <c r="AM44" s="11"/>
      <c r="AN44" s="10" t="str">
        <f t="shared" si="16"/>
        <v/>
      </c>
      <c r="AO44" s="10" t="str">
        <f t="shared" si="17"/>
        <v/>
      </c>
    </row>
    <row r="45" spans="4:41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f t="shared" si="10"/>
        <v>0</v>
      </c>
      <c r="P45" s="8" t="str">
        <f>IF(O45="","",VLOOKUP(O45,Lists!$E:$F,2,FALSE))</f>
        <v/>
      </c>
      <c r="AC45" s="10" t="str">
        <f t="shared" si="11"/>
        <v/>
      </c>
      <c r="AD45" s="11"/>
      <c r="AE45" s="10" t="str">
        <f t="shared" si="12"/>
        <v/>
      </c>
      <c r="AF45" s="10" t="str">
        <f t="shared" si="13"/>
        <v/>
      </c>
      <c r="AJ45" t="str">
        <f t="shared" si="14"/>
        <v/>
      </c>
      <c r="AL45" s="10" t="str">
        <f t="shared" si="15"/>
        <v/>
      </c>
      <c r="AM45" s="11"/>
      <c r="AN45" s="10" t="str">
        <f t="shared" si="16"/>
        <v/>
      </c>
      <c r="AO45" s="10" t="str">
        <f t="shared" si="17"/>
        <v/>
      </c>
    </row>
    <row r="46" spans="4:41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f t="shared" si="10"/>
        <v>0</v>
      </c>
      <c r="P46" s="8" t="str">
        <f>IF(O46="","",VLOOKUP(O46,Lists!$E:$F,2,FALSE))</f>
        <v/>
      </c>
      <c r="AC46" s="10" t="str">
        <f t="shared" si="11"/>
        <v/>
      </c>
      <c r="AD46" s="11"/>
      <c r="AE46" s="10" t="str">
        <f t="shared" si="12"/>
        <v/>
      </c>
      <c r="AF46" s="10" t="str">
        <f t="shared" si="13"/>
        <v/>
      </c>
      <c r="AJ46" t="str">
        <f t="shared" si="14"/>
        <v/>
      </c>
      <c r="AL46" s="10" t="str">
        <f t="shared" si="15"/>
        <v/>
      </c>
      <c r="AM46" s="11"/>
      <c r="AN46" s="10" t="str">
        <f t="shared" si="16"/>
        <v/>
      </c>
      <c r="AO46" s="10" t="str">
        <f t="shared" si="17"/>
        <v/>
      </c>
    </row>
    <row r="47" spans="4:41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f t="shared" si="10"/>
        <v>0</v>
      </c>
      <c r="P47" s="8" t="str">
        <f>IF(O47="","",VLOOKUP(O47,Lists!$E:$F,2,FALSE))</f>
        <v/>
      </c>
      <c r="AC47" s="10" t="str">
        <f t="shared" si="11"/>
        <v/>
      </c>
      <c r="AD47" s="11"/>
      <c r="AE47" s="10" t="str">
        <f t="shared" si="12"/>
        <v/>
      </c>
      <c r="AF47" s="10" t="str">
        <f t="shared" si="13"/>
        <v/>
      </c>
      <c r="AJ47" t="str">
        <f t="shared" si="14"/>
        <v/>
      </c>
      <c r="AL47" s="10" t="str">
        <f t="shared" si="15"/>
        <v/>
      </c>
      <c r="AM47" s="11"/>
      <c r="AN47" s="10" t="str">
        <f t="shared" si="16"/>
        <v/>
      </c>
      <c r="AO47" s="10" t="str">
        <f t="shared" si="17"/>
        <v/>
      </c>
    </row>
    <row r="48" spans="4:41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f t="shared" si="10"/>
        <v>0</v>
      </c>
      <c r="P48" s="8" t="str">
        <f>IF(O48="","",VLOOKUP(O48,Lists!$E:$F,2,FALSE))</f>
        <v/>
      </c>
      <c r="AC48" s="10" t="str">
        <f t="shared" si="11"/>
        <v/>
      </c>
      <c r="AD48" s="11"/>
      <c r="AE48" s="10" t="str">
        <f t="shared" si="12"/>
        <v/>
      </c>
      <c r="AF48" s="10" t="str">
        <f t="shared" si="13"/>
        <v/>
      </c>
      <c r="AJ48" t="str">
        <f t="shared" si="14"/>
        <v/>
      </c>
      <c r="AL48" s="10" t="str">
        <f t="shared" si="15"/>
        <v/>
      </c>
      <c r="AM48" s="11"/>
      <c r="AN48" s="10" t="str">
        <f t="shared" si="16"/>
        <v/>
      </c>
      <c r="AO48" s="10" t="str">
        <f t="shared" si="17"/>
        <v/>
      </c>
    </row>
    <row r="49" spans="4:41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f t="shared" si="10"/>
        <v>0</v>
      </c>
      <c r="P49" s="8" t="str">
        <f>IF(O49="","",VLOOKUP(O49,Lists!$E:$F,2,FALSE))</f>
        <v/>
      </c>
      <c r="AC49" s="10" t="str">
        <f t="shared" si="11"/>
        <v/>
      </c>
      <c r="AD49" s="11"/>
      <c r="AE49" s="10" t="str">
        <f t="shared" si="12"/>
        <v/>
      </c>
      <c r="AF49" s="10" t="str">
        <f t="shared" si="13"/>
        <v/>
      </c>
      <c r="AJ49" t="str">
        <f t="shared" si="14"/>
        <v/>
      </c>
      <c r="AL49" s="10" t="str">
        <f t="shared" si="15"/>
        <v/>
      </c>
      <c r="AM49" s="11"/>
      <c r="AN49" s="10" t="str">
        <f t="shared" si="16"/>
        <v/>
      </c>
      <c r="AO49" s="10" t="str">
        <f t="shared" si="17"/>
        <v/>
      </c>
    </row>
    <row r="50" spans="4:41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f t="shared" si="10"/>
        <v>0</v>
      </c>
      <c r="P50" s="8" t="str">
        <f>IF(O50="","",VLOOKUP(O50,Lists!$E:$F,2,FALSE))</f>
        <v/>
      </c>
      <c r="AC50" s="10" t="str">
        <f t="shared" si="11"/>
        <v/>
      </c>
      <c r="AD50" s="11"/>
      <c r="AE50" s="10" t="str">
        <f t="shared" si="12"/>
        <v/>
      </c>
      <c r="AF50" s="10" t="str">
        <f t="shared" si="13"/>
        <v/>
      </c>
      <c r="AJ50" t="str">
        <f t="shared" si="14"/>
        <v/>
      </c>
      <c r="AL50" s="10" t="str">
        <f t="shared" si="15"/>
        <v/>
      </c>
      <c r="AM50" s="11"/>
      <c r="AN50" s="10" t="str">
        <f t="shared" si="16"/>
        <v/>
      </c>
      <c r="AO50" s="10" t="str">
        <f t="shared" si="17"/>
        <v/>
      </c>
    </row>
    <row r="51" spans="4:41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f t="shared" si="10"/>
        <v>0</v>
      </c>
      <c r="P51" s="8" t="str">
        <f>IF(O51="","",VLOOKUP(O51,Lists!$E:$F,2,FALSE))</f>
        <v/>
      </c>
      <c r="AC51" s="10" t="str">
        <f t="shared" si="11"/>
        <v/>
      </c>
      <c r="AD51" s="11"/>
      <c r="AE51" s="10" t="str">
        <f t="shared" si="12"/>
        <v/>
      </c>
      <c r="AF51" s="10" t="str">
        <f t="shared" si="13"/>
        <v/>
      </c>
      <c r="AJ51" t="str">
        <f t="shared" si="14"/>
        <v/>
      </c>
      <c r="AL51" s="10" t="str">
        <f t="shared" si="15"/>
        <v/>
      </c>
      <c r="AM51" s="11"/>
      <c r="AN51" s="10" t="str">
        <f t="shared" si="16"/>
        <v/>
      </c>
      <c r="AO51" s="10" t="str">
        <f t="shared" si="17"/>
        <v/>
      </c>
    </row>
    <row r="52" spans="4:41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f t="shared" si="10"/>
        <v>0</v>
      </c>
      <c r="P52" s="8" t="str">
        <f>IF(O52="","",VLOOKUP(O52,Lists!$E:$F,2,FALSE))</f>
        <v/>
      </c>
      <c r="AC52" s="10" t="str">
        <f t="shared" si="11"/>
        <v/>
      </c>
      <c r="AD52" s="11"/>
      <c r="AE52" s="10" t="str">
        <f t="shared" si="12"/>
        <v/>
      </c>
      <c r="AF52" s="10" t="str">
        <f t="shared" si="13"/>
        <v/>
      </c>
      <c r="AJ52" t="str">
        <f t="shared" si="14"/>
        <v/>
      </c>
      <c r="AL52" s="10" t="str">
        <f t="shared" si="15"/>
        <v/>
      </c>
      <c r="AM52" s="11"/>
      <c r="AN52" s="10" t="str">
        <f t="shared" si="16"/>
        <v/>
      </c>
      <c r="AO52" s="10" t="str">
        <f t="shared" si="17"/>
        <v/>
      </c>
    </row>
    <row r="53" spans="4:41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f t="shared" si="10"/>
        <v>0</v>
      </c>
      <c r="P53" s="8" t="str">
        <f>IF(O53="","",VLOOKUP(O53,Lists!$E:$F,2,FALSE))</f>
        <v/>
      </c>
      <c r="AC53" s="10" t="str">
        <f t="shared" si="11"/>
        <v/>
      </c>
      <c r="AD53" s="11"/>
      <c r="AE53" s="10" t="str">
        <f t="shared" si="12"/>
        <v/>
      </c>
      <c r="AF53" s="10" t="str">
        <f t="shared" si="13"/>
        <v/>
      </c>
      <c r="AJ53" t="str">
        <f t="shared" si="14"/>
        <v/>
      </c>
      <c r="AL53" s="10" t="str">
        <f t="shared" si="15"/>
        <v/>
      </c>
      <c r="AM53" s="11"/>
      <c r="AN53" s="10" t="str">
        <f t="shared" si="16"/>
        <v/>
      </c>
      <c r="AO53" s="10" t="str">
        <f t="shared" si="17"/>
        <v/>
      </c>
    </row>
    <row r="54" spans="4:41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f t="shared" si="10"/>
        <v>0</v>
      </c>
      <c r="P54" s="8" t="str">
        <f>IF(O54="","",VLOOKUP(O54,Lists!$E:$F,2,FALSE))</f>
        <v/>
      </c>
      <c r="AC54" s="10" t="str">
        <f t="shared" si="11"/>
        <v/>
      </c>
      <c r="AD54" s="11"/>
      <c r="AE54" s="10" t="str">
        <f t="shared" si="12"/>
        <v/>
      </c>
      <c r="AF54" s="10" t="str">
        <f t="shared" si="13"/>
        <v/>
      </c>
      <c r="AJ54" t="str">
        <f t="shared" si="14"/>
        <v/>
      </c>
      <c r="AL54" s="10" t="str">
        <f t="shared" si="15"/>
        <v/>
      </c>
      <c r="AM54" s="11"/>
      <c r="AN54" s="10" t="str">
        <f t="shared" si="16"/>
        <v/>
      </c>
      <c r="AO54" s="10" t="str">
        <f t="shared" si="17"/>
        <v/>
      </c>
    </row>
    <row r="55" spans="4:41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f t="shared" si="10"/>
        <v>0</v>
      </c>
      <c r="P55" s="8" t="str">
        <f>IF(O55="","",VLOOKUP(O55,Lists!$E:$F,2,FALSE))</f>
        <v/>
      </c>
      <c r="AC55" s="10" t="str">
        <f t="shared" si="11"/>
        <v/>
      </c>
      <c r="AD55" s="11"/>
      <c r="AE55" s="10" t="str">
        <f t="shared" si="12"/>
        <v/>
      </c>
      <c r="AF55" s="10" t="str">
        <f t="shared" si="13"/>
        <v/>
      </c>
      <c r="AJ55" t="str">
        <f t="shared" si="14"/>
        <v/>
      </c>
      <c r="AL55" s="10" t="str">
        <f t="shared" si="15"/>
        <v/>
      </c>
      <c r="AM55" s="11"/>
      <c r="AN55" s="10" t="str">
        <f t="shared" si="16"/>
        <v/>
      </c>
      <c r="AO55" s="10" t="str">
        <f t="shared" si="17"/>
        <v/>
      </c>
    </row>
    <row r="56" spans="4:41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f t="shared" si="10"/>
        <v>0</v>
      </c>
      <c r="P56" s="8" t="str">
        <f>IF(O56="","",VLOOKUP(O56,Lists!$E:$F,2,FALSE))</f>
        <v/>
      </c>
      <c r="AC56" s="10" t="str">
        <f t="shared" si="11"/>
        <v/>
      </c>
      <c r="AD56" s="11"/>
      <c r="AE56" s="10" t="str">
        <f t="shared" si="12"/>
        <v/>
      </c>
      <c r="AF56" s="10" t="str">
        <f t="shared" si="13"/>
        <v/>
      </c>
      <c r="AJ56" t="str">
        <f t="shared" si="14"/>
        <v/>
      </c>
      <c r="AL56" s="10" t="str">
        <f t="shared" si="15"/>
        <v/>
      </c>
      <c r="AM56" s="11"/>
      <c r="AN56" s="10" t="str">
        <f t="shared" si="16"/>
        <v/>
      </c>
      <c r="AO56" s="10" t="str">
        <f t="shared" si="17"/>
        <v/>
      </c>
    </row>
    <row r="57" spans="4:41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f t="shared" si="10"/>
        <v>0</v>
      </c>
      <c r="P57" s="8" t="str">
        <f>IF(O57="","",VLOOKUP(O57,Lists!$E:$F,2,FALSE))</f>
        <v/>
      </c>
      <c r="AC57" s="10" t="str">
        <f t="shared" si="11"/>
        <v/>
      </c>
      <c r="AD57" s="11"/>
      <c r="AE57" s="10" t="str">
        <f t="shared" si="12"/>
        <v/>
      </c>
      <c r="AF57" s="10" t="str">
        <f t="shared" si="13"/>
        <v/>
      </c>
      <c r="AJ57" t="str">
        <f t="shared" si="14"/>
        <v/>
      </c>
      <c r="AL57" s="10" t="str">
        <f t="shared" si="15"/>
        <v/>
      </c>
      <c r="AM57" s="11"/>
      <c r="AN57" s="10" t="str">
        <f t="shared" si="16"/>
        <v/>
      </c>
      <c r="AO57" s="10" t="str">
        <f t="shared" si="17"/>
        <v/>
      </c>
    </row>
    <row r="58" spans="4:41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f t="shared" si="10"/>
        <v>0</v>
      </c>
      <c r="P58" s="8" t="str">
        <f>IF(O58="","",VLOOKUP(O58,Lists!$E:$F,2,FALSE))</f>
        <v/>
      </c>
      <c r="AC58" s="10" t="str">
        <f t="shared" si="11"/>
        <v/>
      </c>
      <c r="AD58" s="11"/>
      <c r="AE58" s="10" t="str">
        <f t="shared" si="12"/>
        <v/>
      </c>
      <c r="AF58" s="10" t="str">
        <f t="shared" si="13"/>
        <v/>
      </c>
      <c r="AJ58" t="str">
        <f t="shared" si="14"/>
        <v/>
      </c>
      <c r="AL58" s="10" t="str">
        <f t="shared" si="15"/>
        <v/>
      </c>
      <c r="AM58" s="11"/>
      <c r="AN58" s="10" t="str">
        <f t="shared" si="16"/>
        <v/>
      </c>
      <c r="AO58" s="10" t="str">
        <f t="shared" si="17"/>
        <v/>
      </c>
    </row>
    <row r="59" spans="4:41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f t="shared" si="10"/>
        <v>0</v>
      </c>
      <c r="P59" s="8" t="str">
        <f>IF(O59="","",VLOOKUP(O59,Lists!$E:$F,2,FALSE))</f>
        <v/>
      </c>
      <c r="AC59" s="10" t="str">
        <f t="shared" si="11"/>
        <v/>
      </c>
      <c r="AD59" s="11"/>
      <c r="AE59" s="10" t="str">
        <f t="shared" si="12"/>
        <v/>
      </c>
      <c r="AF59" s="10" t="str">
        <f t="shared" si="13"/>
        <v/>
      </c>
      <c r="AJ59" t="str">
        <f t="shared" si="14"/>
        <v/>
      </c>
      <c r="AL59" s="10" t="str">
        <f t="shared" si="15"/>
        <v/>
      </c>
      <c r="AM59" s="11"/>
      <c r="AN59" s="10" t="str">
        <f t="shared" si="16"/>
        <v/>
      </c>
      <c r="AO59" s="10" t="str">
        <f t="shared" si="17"/>
        <v/>
      </c>
    </row>
    <row r="60" spans="4:41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f t="shared" si="10"/>
        <v>0</v>
      </c>
      <c r="P60" s="8" t="str">
        <f>IF(O60="","",VLOOKUP(O60,Lists!$E:$F,2,FALSE))</f>
        <v/>
      </c>
      <c r="AC60" s="10" t="str">
        <f t="shared" si="11"/>
        <v/>
      </c>
      <c r="AD60" s="11"/>
      <c r="AE60" s="10" t="str">
        <f t="shared" si="12"/>
        <v/>
      </c>
      <c r="AF60" s="10" t="str">
        <f t="shared" si="13"/>
        <v/>
      </c>
      <c r="AJ60" t="str">
        <f t="shared" si="14"/>
        <v/>
      </c>
      <c r="AL60" s="10" t="str">
        <f t="shared" si="15"/>
        <v/>
      </c>
      <c r="AM60" s="11"/>
      <c r="AN60" s="10" t="str">
        <f t="shared" si="16"/>
        <v/>
      </c>
      <c r="AO60" s="10" t="str">
        <f t="shared" si="17"/>
        <v/>
      </c>
    </row>
    <row r="61" spans="4:41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f t="shared" si="10"/>
        <v>0</v>
      </c>
      <c r="P61" s="8" t="str">
        <f>IF(O61="","",VLOOKUP(O61,Lists!$E:$F,2,FALSE))</f>
        <v/>
      </c>
      <c r="AC61" s="10" t="str">
        <f t="shared" si="11"/>
        <v/>
      </c>
      <c r="AD61" s="11"/>
      <c r="AE61" s="10" t="str">
        <f t="shared" si="12"/>
        <v/>
      </c>
      <c r="AF61" s="10" t="str">
        <f t="shared" si="13"/>
        <v/>
      </c>
      <c r="AJ61" t="str">
        <f t="shared" si="14"/>
        <v/>
      </c>
      <c r="AL61" s="10" t="str">
        <f t="shared" si="15"/>
        <v/>
      </c>
      <c r="AM61" s="11"/>
      <c r="AN61" s="10" t="str">
        <f t="shared" si="16"/>
        <v/>
      </c>
      <c r="AO61" s="10" t="str">
        <f t="shared" si="17"/>
        <v/>
      </c>
    </row>
    <row r="62" spans="4:41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f t="shared" si="10"/>
        <v>0</v>
      </c>
      <c r="P62" s="8" t="str">
        <f>IF(O62="","",VLOOKUP(O62,Lists!$E:$F,2,FALSE))</f>
        <v/>
      </c>
      <c r="AC62" s="10" t="str">
        <f t="shared" si="11"/>
        <v/>
      </c>
      <c r="AD62" s="11"/>
      <c r="AE62" s="10" t="str">
        <f t="shared" si="12"/>
        <v/>
      </c>
      <c r="AF62" s="10" t="str">
        <f t="shared" si="13"/>
        <v/>
      </c>
      <c r="AJ62" t="str">
        <f t="shared" si="14"/>
        <v/>
      </c>
      <c r="AL62" s="10" t="str">
        <f t="shared" si="15"/>
        <v/>
      </c>
      <c r="AM62" s="11"/>
      <c r="AN62" s="10" t="str">
        <f t="shared" si="16"/>
        <v/>
      </c>
      <c r="AO62" s="10" t="str">
        <f t="shared" si="17"/>
        <v/>
      </c>
    </row>
    <row r="63" spans="4:41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f t="shared" si="10"/>
        <v>0</v>
      </c>
      <c r="P63" s="8" t="str">
        <f>IF(O63="","",VLOOKUP(O63,Lists!$E:$F,2,FALSE))</f>
        <v/>
      </c>
      <c r="AC63" s="10" t="str">
        <f t="shared" si="11"/>
        <v/>
      </c>
      <c r="AD63" s="11"/>
      <c r="AE63" s="10" t="str">
        <f t="shared" si="12"/>
        <v/>
      </c>
      <c r="AF63" s="10" t="str">
        <f t="shared" si="13"/>
        <v/>
      </c>
      <c r="AJ63" t="str">
        <f t="shared" si="14"/>
        <v/>
      </c>
      <c r="AL63" s="10" t="str">
        <f t="shared" si="15"/>
        <v/>
      </c>
      <c r="AM63" s="11"/>
      <c r="AN63" s="10" t="str">
        <f t="shared" si="16"/>
        <v/>
      </c>
      <c r="AO63" s="10" t="str">
        <f t="shared" si="17"/>
        <v/>
      </c>
    </row>
    <row r="64" spans="4:41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f t="shared" si="10"/>
        <v>0</v>
      </c>
      <c r="P64" s="8" t="str">
        <f>IF(O64="","",VLOOKUP(O64,Lists!$E:$F,2,FALSE))</f>
        <v/>
      </c>
      <c r="AC64" s="10" t="str">
        <f t="shared" si="11"/>
        <v/>
      </c>
      <c r="AD64" s="11"/>
      <c r="AE64" s="10" t="str">
        <f t="shared" si="12"/>
        <v/>
      </c>
      <c r="AF64" s="10" t="str">
        <f t="shared" si="13"/>
        <v/>
      </c>
      <c r="AJ64" t="str">
        <f t="shared" si="14"/>
        <v/>
      </c>
      <c r="AL64" s="10" t="str">
        <f t="shared" si="15"/>
        <v/>
      </c>
      <c r="AM64" s="11"/>
      <c r="AN64" s="10" t="str">
        <f t="shared" si="16"/>
        <v/>
      </c>
      <c r="AO64" s="10" t="str">
        <f t="shared" si="17"/>
        <v/>
      </c>
    </row>
    <row r="65" spans="4:41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f t="shared" si="10"/>
        <v>0</v>
      </c>
      <c r="P65" s="8" t="str">
        <f>IF(O65="","",VLOOKUP(O65,Lists!$E:$F,2,FALSE))</f>
        <v/>
      </c>
      <c r="AC65" s="10" t="str">
        <f t="shared" si="11"/>
        <v/>
      </c>
      <c r="AD65" s="11"/>
      <c r="AE65" s="10" t="str">
        <f t="shared" si="12"/>
        <v/>
      </c>
      <c r="AF65" s="10" t="str">
        <f t="shared" si="13"/>
        <v/>
      </c>
      <c r="AJ65" t="str">
        <f t="shared" si="14"/>
        <v/>
      </c>
      <c r="AL65" s="10" t="str">
        <f t="shared" si="15"/>
        <v/>
      </c>
      <c r="AM65" s="11"/>
      <c r="AN65" s="10" t="str">
        <f t="shared" si="16"/>
        <v/>
      </c>
      <c r="AO65" s="10" t="str">
        <f t="shared" si="17"/>
        <v/>
      </c>
    </row>
    <row r="66" spans="4:41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f t="shared" ref="M66:M97" si="18">IF(K66="Eigen Beheer",0,IF(AND(ISNUMBER(L66),I66&lt;&gt;"",H66&lt;&gt;""),(L66*12/365)*(I66-H66),0))</f>
        <v>0</v>
      </c>
      <c r="P66" s="8" t="str">
        <f>IF(O66="","",VLOOKUP(O66,Lists!$E:$F,2,FALSE))</f>
        <v/>
      </c>
      <c r="AC66" s="10" t="str">
        <f t="shared" ref="AC66:AC97" si="19">IF(AND(AA66&lt;&gt;"",AB66&lt;&gt;""),AA66*AB66,"")</f>
        <v/>
      </c>
      <c r="AD66" s="11"/>
      <c r="AE66" s="10" t="str">
        <f t="shared" ref="AE66:AE97" si="20">IF(AND(AC66&lt;&gt;"",AD66&lt;&gt;""),AC66*AD66,"")</f>
        <v/>
      </c>
      <c r="AF66" s="10" t="str">
        <f t="shared" ref="AF66:AF97" si="21">IF(AND(AC66&lt;&gt;"",AE66&lt;&gt;""),AC66+AE66,"")</f>
        <v/>
      </c>
      <c r="AJ66" t="str">
        <f t="shared" ref="AJ66:AJ97" si="22">IF($B66="GWE_Item",IF($AG66="Elektra",SUMIFS($U:$U,$A:$A,$A66,$B:$B,"GWE")-SUMIFS($T:$T,$A:$A,$A66,$B:$B,"GWE"),IF($AG66="Gas",SUMIFS($W:$W,$A:$A,$A66,$B:$B,"GWE")-SUMIFS($V:$V,$A:$A,$A66,$B:$B,"GWE"),IF($AG66="Water",SUMIFS($Y:$Y,$A:$A,$A66,$B:$B,"GWE")-SUMIFS($X:$X,$A:$A,$A66,$B:$B,"GWE"),""))),"")</f>
        <v/>
      </c>
      <c r="AL66" s="10" t="str">
        <f t="shared" ref="AL66:AL97" si="23">IF(AND(AJ66&lt;&gt;"",AK66&lt;&gt;""),AJ66*AK66,"")</f>
        <v/>
      </c>
      <c r="AM66" s="11"/>
      <c r="AN66" s="10" t="str">
        <f t="shared" ref="AN66:AN97" si="24">IF(AND(AL66&lt;&gt;"",AM66&lt;&gt;""),AL66*AM66,"")</f>
        <v/>
      </c>
      <c r="AO66" s="10" t="str">
        <f t="shared" ref="AO66:AO97" si="25">IF(AND(AL66&lt;&gt;"",AN66&lt;&gt;""),AL66+AN66,"")</f>
        <v/>
      </c>
    </row>
    <row r="67" spans="4:41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f t="shared" si="18"/>
        <v>0</v>
      </c>
      <c r="P67" s="8" t="str">
        <f>IF(O67="","",VLOOKUP(O67,Lists!$E:$F,2,FALSE))</f>
        <v/>
      </c>
      <c r="AC67" s="10" t="str">
        <f t="shared" si="19"/>
        <v/>
      </c>
      <c r="AD67" s="11"/>
      <c r="AE67" s="10" t="str">
        <f t="shared" si="20"/>
        <v/>
      </c>
      <c r="AF67" s="10" t="str">
        <f t="shared" si="21"/>
        <v/>
      </c>
      <c r="AJ67" t="str">
        <f t="shared" si="22"/>
        <v/>
      </c>
      <c r="AL67" s="10" t="str">
        <f t="shared" si="23"/>
        <v/>
      </c>
      <c r="AM67" s="11"/>
      <c r="AN67" s="10" t="str">
        <f t="shared" si="24"/>
        <v/>
      </c>
      <c r="AO67" s="10" t="str">
        <f t="shared" si="25"/>
        <v/>
      </c>
    </row>
    <row r="68" spans="4:41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f t="shared" si="18"/>
        <v>0</v>
      </c>
      <c r="P68" s="8" t="str">
        <f>IF(O68="","",VLOOKUP(O68,Lists!$E:$F,2,FALSE))</f>
        <v/>
      </c>
      <c r="AC68" s="10" t="str">
        <f t="shared" si="19"/>
        <v/>
      </c>
      <c r="AD68" s="11"/>
      <c r="AE68" s="10" t="str">
        <f t="shared" si="20"/>
        <v/>
      </c>
      <c r="AF68" s="10" t="str">
        <f t="shared" si="21"/>
        <v/>
      </c>
      <c r="AJ68" t="str">
        <f t="shared" si="22"/>
        <v/>
      </c>
      <c r="AL68" s="10" t="str">
        <f t="shared" si="23"/>
        <v/>
      </c>
      <c r="AM68" s="11"/>
      <c r="AN68" s="10" t="str">
        <f t="shared" si="24"/>
        <v/>
      </c>
      <c r="AO68" s="10" t="str">
        <f t="shared" si="25"/>
        <v/>
      </c>
    </row>
    <row r="69" spans="4:41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f t="shared" si="18"/>
        <v>0</v>
      </c>
      <c r="P69" s="8" t="str">
        <f>IF(O69="","",VLOOKUP(O69,Lists!$E:$F,2,FALSE))</f>
        <v/>
      </c>
      <c r="AC69" s="10" t="str">
        <f t="shared" si="19"/>
        <v/>
      </c>
      <c r="AD69" s="11"/>
      <c r="AE69" s="10" t="str">
        <f t="shared" si="20"/>
        <v/>
      </c>
      <c r="AF69" s="10" t="str">
        <f t="shared" si="21"/>
        <v/>
      </c>
      <c r="AJ69" t="str">
        <f t="shared" si="22"/>
        <v/>
      </c>
      <c r="AL69" s="10" t="str">
        <f t="shared" si="23"/>
        <v/>
      </c>
      <c r="AM69" s="11"/>
      <c r="AN69" s="10" t="str">
        <f t="shared" si="24"/>
        <v/>
      </c>
      <c r="AO69" s="10" t="str">
        <f t="shared" si="25"/>
        <v/>
      </c>
    </row>
    <row r="70" spans="4:41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f t="shared" si="18"/>
        <v>0</v>
      </c>
      <c r="P70" s="8" t="str">
        <f>IF(O70="","",VLOOKUP(O70,Lists!$E:$F,2,FALSE))</f>
        <v/>
      </c>
      <c r="AC70" s="10" t="str">
        <f t="shared" si="19"/>
        <v/>
      </c>
      <c r="AD70" s="11"/>
      <c r="AE70" s="10" t="str">
        <f t="shared" si="20"/>
        <v/>
      </c>
      <c r="AF70" s="10" t="str">
        <f t="shared" si="21"/>
        <v/>
      </c>
      <c r="AJ70" t="str">
        <f t="shared" si="22"/>
        <v/>
      </c>
      <c r="AL70" s="10" t="str">
        <f t="shared" si="23"/>
        <v/>
      </c>
      <c r="AM70" s="11"/>
      <c r="AN70" s="10" t="str">
        <f t="shared" si="24"/>
        <v/>
      </c>
      <c r="AO70" s="10" t="str">
        <f t="shared" si="25"/>
        <v/>
      </c>
    </row>
    <row r="71" spans="4:41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f t="shared" si="18"/>
        <v>0</v>
      </c>
      <c r="P71" s="8" t="str">
        <f>IF(O71="","",VLOOKUP(O71,Lists!$E:$F,2,FALSE))</f>
        <v/>
      </c>
      <c r="AC71" s="10" t="str">
        <f t="shared" si="19"/>
        <v/>
      </c>
      <c r="AD71" s="11"/>
      <c r="AE71" s="10" t="str">
        <f t="shared" si="20"/>
        <v/>
      </c>
      <c r="AF71" s="10" t="str">
        <f t="shared" si="21"/>
        <v/>
      </c>
      <c r="AJ71" t="str">
        <f t="shared" si="22"/>
        <v/>
      </c>
      <c r="AL71" s="10" t="str">
        <f t="shared" si="23"/>
        <v/>
      </c>
      <c r="AM71" s="11"/>
      <c r="AN71" s="10" t="str">
        <f t="shared" si="24"/>
        <v/>
      </c>
      <c r="AO71" s="10" t="str">
        <f t="shared" si="25"/>
        <v/>
      </c>
    </row>
    <row r="72" spans="4:41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f t="shared" si="18"/>
        <v>0</v>
      </c>
      <c r="P72" s="8" t="str">
        <f>IF(O72="","",VLOOKUP(O72,Lists!$E:$F,2,FALSE))</f>
        <v/>
      </c>
      <c r="AC72" s="10" t="str">
        <f t="shared" si="19"/>
        <v/>
      </c>
      <c r="AD72" s="11"/>
      <c r="AE72" s="10" t="str">
        <f t="shared" si="20"/>
        <v/>
      </c>
      <c r="AF72" s="10" t="str">
        <f t="shared" si="21"/>
        <v/>
      </c>
      <c r="AJ72" t="str">
        <f t="shared" si="22"/>
        <v/>
      </c>
      <c r="AL72" s="10" t="str">
        <f t="shared" si="23"/>
        <v/>
      </c>
      <c r="AM72" s="11"/>
      <c r="AN72" s="10" t="str">
        <f t="shared" si="24"/>
        <v/>
      </c>
      <c r="AO72" s="10" t="str">
        <f t="shared" si="25"/>
        <v/>
      </c>
    </row>
    <row r="73" spans="4:41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f t="shared" si="18"/>
        <v>0</v>
      </c>
      <c r="P73" s="8" t="str">
        <f>IF(O73="","",VLOOKUP(O73,Lists!$E:$F,2,FALSE))</f>
        <v/>
      </c>
      <c r="AC73" s="10" t="str">
        <f t="shared" si="19"/>
        <v/>
      </c>
      <c r="AD73" s="11"/>
      <c r="AE73" s="10" t="str">
        <f t="shared" si="20"/>
        <v/>
      </c>
      <c r="AF73" s="10" t="str">
        <f t="shared" si="21"/>
        <v/>
      </c>
      <c r="AJ73" t="str">
        <f t="shared" si="22"/>
        <v/>
      </c>
      <c r="AL73" s="10" t="str">
        <f t="shared" si="23"/>
        <v/>
      </c>
      <c r="AM73" s="11"/>
      <c r="AN73" s="10" t="str">
        <f t="shared" si="24"/>
        <v/>
      </c>
      <c r="AO73" s="10" t="str">
        <f t="shared" si="25"/>
        <v/>
      </c>
    </row>
    <row r="74" spans="4:41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f t="shared" si="18"/>
        <v>0</v>
      </c>
      <c r="P74" s="8" t="str">
        <f>IF(O74="","",VLOOKUP(O74,Lists!$E:$F,2,FALSE))</f>
        <v/>
      </c>
      <c r="AC74" s="10" t="str">
        <f t="shared" si="19"/>
        <v/>
      </c>
      <c r="AD74" s="11"/>
      <c r="AE74" s="10" t="str">
        <f t="shared" si="20"/>
        <v/>
      </c>
      <c r="AF74" s="10" t="str">
        <f t="shared" si="21"/>
        <v/>
      </c>
      <c r="AJ74" t="str">
        <f t="shared" si="22"/>
        <v/>
      </c>
      <c r="AL74" s="10" t="str">
        <f t="shared" si="23"/>
        <v/>
      </c>
      <c r="AM74" s="11"/>
      <c r="AN74" s="10" t="str">
        <f t="shared" si="24"/>
        <v/>
      </c>
      <c r="AO74" s="10" t="str">
        <f t="shared" si="25"/>
        <v/>
      </c>
    </row>
    <row r="75" spans="4:41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f t="shared" si="18"/>
        <v>0</v>
      </c>
      <c r="P75" s="8" t="str">
        <f>IF(O75="","",VLOOKUP(O75,Lists!$E:$F,2,FALSE))</f>
        <v/>
      </c>
      <c r="AC75" s="10" t="str">
        <f t="shared" si="19"/>
        <v/>
      </c>
      <c r="AD75" s="11"/>
      <c r="AE75" s="10" t="str">
        <f t="shared" si="20"/>
        <v/>
      </c>
      <c r="AF75" s="10" t="str">
        <f t="shared" si="21"/>
        <v/>
      </c>
      <c r="AJ75" t="str">
        <f t="shared" si="22"/>
        <v/>
      </c>
      <c r="AL75" s="10" t="str">
        <f t="shared" si="23"/>
        <v/>
      </c>
      <c r="AM75" s="11"/>
      <c r="AN75" s="10" t="str">
        <f t="shared" si="24"/>
        <v/>
      </c>
      <c r="AO75" s="10" t="str">
        <f t="shared" si="25"/>
        <v/>
      </c>
    </row>
    <row r="76" spans="4:41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f t="shared" si="18"/>
        <v>0</v>
      </c>
      <c r="P76" s="8" t="str">
        <f>IF(O76="","",VLOOKUP(O76,Lists!$E:$F,2,FALSE))</f>
        <v/>
      </c>
      <c r="AC76" s="10" t="str">
        <f t="shared" si="19"/>
        <v/>
      </c>
      <c r="AD76" s="11"/>
      <c r="AE76" s="10" t="str">
        <f t="shared" si="20"/>
        <v/>
      </c>
      <c r="AF76" s="10" t="str">
        <f t="shared" si="21"/>
        <v/>
      </c>
      <c r="AJ76" t="str">
        <f t="shared" si="22"/>
        <v/>
      </c>
      <c r="AL76" s="10" t="str">
        <f t="shared" si="23"/>
        <v/>
      </c>
      <c r="AM76" s="11"/>
      <c r="AN76" s="10" t="str">
        <f t="shared" si="24"/>
        <v/>
      </c>
      <c r="AO76" s="10" t="str">
        <f t="shared" si="25"/>
        <v/>
      </c>
    </row>
    <row r="77" spans="4:41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f t="shared" si="18"/>
        <v>0</v>
      </c>
      <c r="P77" s="8" t="str">
        <f>IF(O77="","",VLOOKUP(O77,Lists!$E:$F,2,FALSE))</f>
        <v/>
      </c>
      <c r="AC77" s="10" t="str">
        <f t="shared" si="19"/>
        <v/>
      </c>
      <c r="AD77" s="11"/>
      <c r="AE77" s="10" t="str">
        <f t="shared" si="20"/>
        <v/>
      </c>
      <c r="AF77" s="10" t="str">
        <f t="shared" si="21"/>
        <v/>
      </c>
      <c r="AJ77" t="str">
        <f t="shared" si="22"/>
        <v/>
      </c>
      <c r="AL77" s="10" t="str">
        <f t="shared" si="23"/>
        <v/>
      </c>
      <c r="AM77" s="11"/>
      <c r="AN77" s="10" t="str">
        <f t="shared" si="24"/>
        <v/>
      </c>
      <c r="AO77" s="10" t="str">
        <f t="shared" si="25"/>
        <v/>
      </c>
    </row>
    <row r="78" spans="4:41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f t="shared" si="18"/>
        <v>0</v>
      </c>
      <c r="P78" s="8" t="str">
        <f>IF(O78="","",VLOOKUP(O78,Lists!$E:$F,2,FALSE))</f>
        <v/>
      </c>
      <c r="AC78" s="10" t="str">
        <f t="shared" si="19"/>
        <v/>
      </c>
      <c r="AD78" s="11"/>
      <c r="AE78" s="10" t="str">
        <f t="shared" si="20"/>
        <v/>
      </c>
      <c r="AF78" s="10" t="str">
        <f t="shared" si="21"/>
        <v/>
      </c>
      <c r="AJ78" t="str">
        <f t="shared" si="22"/>
        <v/>
      </c>
      <c r="AL78" s="10" t="str">
        <f t="shared" si="23"/>
        <v/>
      </c>
      <c r="AM78" s="11"/>
      <c r="AN78" s="10" t="str">
        <f t="shared" si="24"/>
        <v/>
      </c>
      <c r="AO78" s="10" t="str">
        <f t="shared" si="25"/>
        <v/>
      </c>
    </row>
    <row r="79" spans="4:41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f t="shared" si="18"/>
        <v>0</v>
      </c>
      <c r="P79" s="8" t="str">
        <f>IF(O79="","",VLOOKUP(O79,Lists!$E:$F,2,FALSE))</f>
        <v/>
      </c>
      <c r="AC79" s="10" t="str">
        <f t="shared" si="19"/>
        <v/>
      </c>
      <c r="AD79" s="11"/>
      <c r="AE79" s="10" t="str">
        <f t="shared" si="20"/>
        <v/>
      </c>
      <c r="AF79" s="10" t="str">
        <f t="shared" si="21"/>
        <v/>
      </c>
      <c r="AJ79" t="str">
        <f t="shared" si="22"/>
        <v/>
      </c>
      <c r="AL79" s="10" t="str">
        <f t="shared" si="23"/>
        <v/>
      </c>
      <c r="AM79" s="11"/>
      <c r="AN79" s="10" t="str">
        <f t="shared" si="24"/>
        <v/>
      </c>
      <c r="AO79" s="10" t="str">
        <f t="shared" si="25"/>
        <v/>
      </c>
    </row>
    <row r="80" spans="4:41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f t="shared" si="18"/>
        <v>0</v>
      </c>
      <c r="P80" s="8" t="str">
        <f>IF(O80="","",VLOOKUP(O80,Lists!$E:$F,2,FALSE))</f>
        <v/>
      </c>
      <c r="AC80" s="10" t="str">
        <f t="shared" si="19"/>
        <v/>
      </c>
      <c r="AD80" s="11"/>
      <c r="AE80" s="10" t="str">
        <f t="shared" si="20"/>
        <v/>
      </c>
      <c r="AF80" s="10" t="str">
        <f t="shared" si="21"/>
        <v/>
      </c>
      <c r="AJ80" t="str">
        <f t="shared" si="22"/>
        <v/>
      </c>
      <c r="AL80" s="10" t="str">
        <f t="shared" si="23"/>
        <v/>
      </c>
      <c r="AM80" s="11"/>
      <c r="AN80" s="10" t="str">
        <f t="shared" si="24"/>
        <v/>
      </c>
      <c r="AO80" s="10" t="str">
        <f t="shared" si="25"/>
        <v/>
      </c>
    </row>
    <row r="81" spans="4:41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f t="shared" si="18"/>
        <v>0</v>
      </c>
      <c r="P81" s="8" t="str">
        <f>IF(O81="","",VLOOKUP(O81,Lists!$E:$F,2,FALSE))</f>
        <v/>
      </c>
      <c r="AC81" s="10" t="str">
        <f t="shared" si="19"/>
        <v/>
      </c>
      <c r="AD81" s="11"/>
      <c r="AE81" s="10" t="str">
        <f t="shared" si="20"/>
        <v/>
      </c>
      <c r="AF81" s="10" t="str">
        <f t="shared" si="21"/>
        <v/>
      </c>
      <c r="AJ81" t="str">
        <f t="shared" si="22"/>
        <v/>
      </c>
      <c r="AL81" s="10" t="str">
        <f t="shared" si="23"/>
        <v/>
      </c>
      <c r="AM81" s="11"/>
      <c r="AN81" s="10" t="str">
        <f t="shared" si="24"/>
        <v/>
      </c>
      <c r="AO81" s="10" t="str">
        <f t="shared" si="25"/>
        <v/>
      </c>
    </row>
    <row r="82" spans="4:41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f t="shared" si="18"/>
        <v>0</v>
      </c>
      <c r="P82" s="8" t="str">
        <f>IF(O82="","",VLOOKUP(O82,Lists!$E:$F,2,FALSE))</f>
        <v/>
      </c>
      <c r="AC82" s="10" t="str">
        <f t="shared" si="19"/>
        <v/>
      </c>
      <c r="AD82" s="11"/>
      <c r="AE82" s="10" t="str">
        <f t="shared" si="20"/>
        <v/>
      </c>
      <c r="AF82" s="10" t="str">
        <f t="shared" si="21"/>
        <v/>
      </c>
      <c r="AJ82" t="str">
        <f t="shared" si="22"/>
        <v/>
      </c>
      <c r="AL82" s="10" t="str">
        <f t="shared" si="23"/>
        <v/>
      </c>
      <c r="AM82" s="11"/>
      <c r="AN82" s="10" t="str">
        <f t="shared" si="24"/>
        <v/>
      </c>
      <c r="AO82" s="10" t="str">
        <f t="shared" si="25"/>
        <v/>
      </c>
    </row>
    <row r="83" spans="4:41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f t="shared" si="18"/>
        <v>0</v>
      </c>
      <c r="P83" s="8" t="str">
        <f>IF(O83="","",VLOOKUP(O83,Lists!$E:$F,2,FALSE))</f>
        <v/>
      </c>
      <c r="AC83" s="10" t="str">
        <f t="shared" si="19"/>
        <v/>
      </c>
      <c r="AD83" s="11"/>
      <c r="AE83" s="10" t="str">
        <f t="shared" si="20"/>
        <v/>
      </c>
      <c r="AF83" s="10" t="str">
        <f t="shared" si="21"/>
        <v/>
      </c>
      <c r="AJ83" t="str">
        <f t="shared" si="22"/>
        <v/>
      </c>
      <c r="AL83" s="10" t="str">
        <f t="shared" si="23"/>
        <v/>
      </c>
      <c r="AM83" s="11"/>
      <c r="AN83" s="10" t="str">
        <f t="shared" si="24"/>
        <v/>
      </c>
      <c r="AO83" s="10" t="str">
        <f t="shared" si="25"/>
        <v/>
      </c>
    </row>
    <row r="84" spans="4:41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f t="shared" si="18"/>
        <v>0</v>
      </c>
      <c r="P84" s="8" t="str">
        <f>IF(O84="","",VLOOKUP(O84,Lists!$E:$F,2,FALSE))</f>
        <v/>
      </c>
      <c r="AC84" s="10" t="str">
        <f t="shared" si="19"/>
        <v/>
      </c>
      <c r="AD84" s="11"/>
      <c r="AE84" s="10" t="str">
        <f t="shared" si="20"/>
        <v/>
      </c>
      <c r="AF84" s="10" t="str">
        <f t="shared" si="21"/>
        <v/>
      </c>
      <c r="AJ84" t="str">
        <f t="shared" si="22"/>
        <v/>
      </c>
      <c r="AL84" s="10" t="str">
        <f t="shared" si="23"/>
        <v/>
      </c>
      <c r="AM84" s="11"/>
      <c r="AN84" s="10" t="str">
        <f t="shared" si="24"/>
        <v/>
      </c>
      <c r="AO84" s="10" t="str">
        <f t="shared" si="25"/>
        <v/>
      </c>
    </row>
    <row r="85" spans="4:41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f t="shared" si="18"/>
        <v>0</v>
      </c>
      <c r="P85" s="8" t="str">
        <f>IF(O85="","",VLOOKUP(O85,Lists!$E:$F,2,FALSE))</f>
        <v/>
      </c>
      <c r="AC85" s="10" t="str">
        <f t="shared" si="19"/>
        <v/>
      </c>
      <c r="AD85" s="11"/>
      <c r="AE85" s="10" t="str">
        <f t="shared" si="20"/>
        <v/>
      </c>
      <c r="AF85" s="10" t="str">
        <f t="shared" si="21"/>
        <v/>
      </c>
      <c r="AJ85" t="str">
        <f t="shared" si="22"/>
        <v/>
      </c>
      <c r="AL85" s="10" t="str">
        <f t="shared" si="23"/>
        <v/>
      </c>
      <c r="AM85" s="11"/>
      <c r="AN85" s="10" t="str">
        <f t="shared" si="24"/>
        <v/>
      </c>
      <c r="AO85" s="10" t="str">
        <f t="shared" si="25"/>
        <v/>
      </c>
    </row>
    <row r="86" spans="4:41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f t="shared" si="18"/>
        <v>0</v>
      </c>
      <c r="P86" s="8" t="str">
        <f>IF(O86="","",VLOOKUP(O86,Lists!$E:$F,2,FALSE))</f>
        <v/>
      </c>
      <c r="AC86" s="10" t="str">
        <f t="shared" si="19"/>
        <v/>
      </c>
      <c r="AD86" s="11"/>
      <c r="AE86" s="10" t="str">
        <f t="shared" si="20"/>
        <v/>
      </c>
      <c r="AF86" s="10" t="str">
        <f t="shared" si="21"/>
        <v/>
      </c>
      <c r="AJ86" t="str">
        <f t="shared" si="22"/>
        <v/>
      </c>
      <c r="AL86" s="10" t="str">
        <f t="shared" si="23"/>
        <v/>
      </c>
      <c r="AM86" s="11"/>
      <c r="AN86" s="10" t="str">
        <f t="shared" si="24"/>
        <v/>
      </c>
      <c r="AO86" s="10" t="str">
        <f t="shared" si="25"/>
        <v/>
      </c>
    </row>
    <row r="87" spans="4:41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f t="shared" si="18"/>
        <v>0</v>
      </c>
      <c r="P87" s="8" t="str">
        <f>IF(O87="","",VLOOKUP(O87,Lists!$E:$F,2,FALSE))</f>
        <v/>
      </c>
      <c r="AC87" s="10" t="str">
        <f t="shared" si="19"/>
        <v/>
      </c>
      <c r="AD87" s="11"/>
      <c r="AE87" s="10" t="str">
        <f t="shared" si="20"/>
        <v/>
      </c>
      <c r="AF87" s="10" t="str">
        <f t="shared" si="21"/>
        <v/>
      </c>
      <c r="AJ87" t="str">
        <f t="shared" si="22"/>
        <v/>
      </c>
      <c r="AL87" s="10" t="str">
        <f t="shared" si="23"/>
        <v/>
      </c>
      <c r="AM87" s="11"/>
      <c r="AN87" s="10" t="str">
        <f t="shared" si="24"/>
        <v/>
      </c>
      <c r="AO87" s="10" t="str">
        <f t="shared" si="25"/>
        <v/>
      </c>
    </row>
    <row r="88" spans="4:41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f t="shared" si="18"/>
        <v>0</v>
      </c>
      <c r="P88" s="8" t="str">
        <f>IF(O88="","",VLOOKUP(O88,Lists!$E:$F,2,FALSE))</f>
        <v/>
      </c>
      <c r="AC88" s="10" t="str">
        <f t="shared" si="19"/>
        <v/>
      </c>
      <c r="AD88" s="11"/>
      <c r="AE88" s="10" t="str">
        <f t="shared" si="20"/>
        <v/>
      </c>
      <c r="AF88" s="10" t="str">
        <f t="shared" si="21"/>
        <v/>
      </c>
      <c r="AJ88" t="str">
        <f t="shared" si="22"/>
        <v/>
      </c>
      <c r="AL88" s="10" t="str">
        <f t="shared" si="23"/>
        <v/>
      </c>
      <c r="AM88" s="11"/>
      <c r="AN88" s="10" t="str">
        <f t="shared" si="24"/>
        <v/>
      </c>
      <c r="AO88" s="10" t="str">
        <f t="shared" si="25"/>
        <v/>
      </c>
    </row>
    <row r="89" spans="4:41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f t="shared" si="18"/>
        <v>0</v>
      </c>
      <c r="P89" s="8" t="str">
        <f>IF(O89="","",VLOOKUP(O89,Lists!$E:$F,2,FALSE))</f>
        <v/>
      </c>
      <c r="AC89" s="10" t="str">
        <f t="shared" si="19"/>
        <v/>
      </c>
      <c r="AD89" s="11"/>
      <c r="AE89" s="10" t="str">
        <f t="shared" si="20"/>
        <v/>
      </c>
      <c r="AF89" s="10" t="str">
        <f t="shared" si="21"/>
        <v/>
      </c>
      <c r="AJ89" t="str">
        <f t="shared" si="22"/>
        <v/>
      </c>
      <c r="AL89" s="10" t="str">
        <f t="shared" si="23"/>
        <v/>
      </c>
      <c r="AM89" s="11"/>
      <c r="AN89" s="10" t="str">
        <f t="shared" si="24"/>
        <v/>
      </c>
      <c r="AO89" s="10" t="str">
        <f t="shared" si="25"/>
        <v/>
      </c>
    </row>
    <row r="90" spans="4:41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f t="shared" si="18"/>
        <v>0</v>
      </c>
      <c r="P90" s="8" t="str">
        <f>IF(O90="","",VLOOKUP(O90,Lists!$E:$F,2,FALSE))</f>
        <v/>
      </c>
      <c r="AC90" s="10" t="str">
        <f t="shared" si="19"/>
        <v/>
      </c>
      <c r="AD90" s="11"/>
      <c r="AE90" s="10" t="str">
        <f t="shared" si="20"/>
        <v/>
      </c>
      <c r="AF90" s="10" t="str">
        <f t="shared" si="21"/>
        <v/>
      </c>
      <c r="AJ90" t="str">
        <f t="shared" si="22"/>
        <v/>
      </c>
      <c r="AL90" s="10" t="str">
        <f t="shared" si="23"/>
        <v/>
      </c>
      <c r="AM90" s="11"/>
      <c r="AN90" s="10" t="str">
        <f t="shared" si="24"/>
        <v/>
      </c>
      <c r="AO90" s="10" t="str">
        <f t="shared" si="25"/>
        <v/>
      </c>
    </row>
    <row r="91" spans="4:41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f t="shared" si="18"/>
        <v>0</v>
      </c>
      <c r="P91" s="8" t="str">
        <f>IF(O91="","",VLOOKUP(O91,Lists!$E:$F,2,FALSE))</f>
        <v/>
      </c>
      <c r="AC91" s="10" t="str">
        <f t="shared" si="19"/>
        <v/>
      </c>
      <c r="AD91" s="11"/>
      <c r="AE91" s="10" t="str">
        <f t="shared" si="20"/>
        <v/>
      </c>
      <c r="AF91" s="10" t="str">
        <f t="shared" si="21"/>
        <v/>
      </c>
      <c r="AJ91" t="str">
        <f t="shared" si="22"/>
        <v/>
      </c>
      <c r="AL91" s="10" t="str">
        <f t="shared" si="23"/>
        <v/>
      </c>
      <c r="AM91" s="11"/>
      <c r="AN91" s="10" t="str">
        <f t="shared" si="24"/>
        <v/>
      </c>
      <c r="AO91" s="10" t="str">
        <f t="shared" si="25"/>
        <v/>
      </c>
    </row>
    <row r="92" spans="4:41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f t="shared" si="18"/>
        <v>0</v>
      </c>
      <c r="P92" s="8" t="str">
        <f>IF(O92="","",VLOOKUP(O92,Lists!$E:$F,2,FALSE))</f>
        <v/>
      </c>
      <c r="AC92" s="10" t="str">
        <f t="shared" si="19"/>
        <v/>
      </c>
      <c r="AD92" s="11"/>
      <c r="AE92" s="10" t="str">
        <f t="shared" si="20"/>
        <v/>
      </c>
      <c r="AF92" s="10" t="str">
        <f t="shared" si="21"/>
        <v/>
      </c>
      <c r="AJ92" t="str">
        <f t="shared" si="22"/>
        <v/>
      </c>
      <c r="AL92" s="10" t="str">
        <f t="shared" si="23"/>
        <v/>
      </c>
      <c r="AM92" s="11"/>
      <c r="AN92" s="10" t="str">
        <f t="shared" si="24"/>
        <v/>
      </c>
      <c r="AO92" s="10" t="str">
        <f t="shared" si="25"/>
        <v/>
      </c>
    </row>
    <row r="93" spans="4:41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f t="shared" si="18"/>
        <v>0</v>
      </c>
      <c r="P93" s="8" t="str">
        <f>IF(O93="","",VLOOKUP(O93,Lists!$E:$F,2,FALSE))</f>
        <v/>
      </c>
      <c r="AC93" s="10" t="str">
        <f t="shared" si="19"/>
        <v/>
      </c>
      <c r="AD93" s="11"/>
      <c r="AE93" s="10" t="str">
        <f t="shared" si="20"/>
        <v/>
      </c>
      <c r="AF93" s="10" t="str">
        <f t="shared" si="21"/>
        <v/>
      </c>
      <c r="AJ93" t="str">
        <f t="shared" si="22"/>
        <v/>
      </c>
      <c r="AL93" s="10" t="str">
        <f t="shared" si="23"/>
        <v/>
      </c>
      <c r="AM93" s="11"/>
      <c r="AN93" s="10" t="str">
        <f t="shared" si="24"/>
        <v/>
      </c>
      <c r="AO93" s="10" t="str">
        <f t="shared" si="25"/>
        <v/>
      </c>
    </row>
    <row r="94" spans="4:41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f t="shared" si="18"/>
        <v>0</v>
      </c>
      <c r="P94" s="8" t="str">
        <f>IF(O94="","",VLOOKUP(O94,Lists!$E:$F,2,FALSE))</f>
        <v/>
      </c>
      <c r="AC94" s="10" t="str">
        <f t="shared" si="19"/>
        <v/>
      </c>
      <c r="AD94" s="11"/>
      <c r="AE94" s="10" t="str">
        <f t="shared" si="20"/>
        <v/>
      </c>
      <c r="AF94" s="10" t="str">
        <f t="shared" si="21"/>
        <v/>
      </c>
      <c r="AJ94" t="str">
        <f t="shared" si="22"/>
        <v/>
      </c>
      <c r="AL94" s="10" t="str">
        <f t="shared" si="23"/>
        <v/>
      </c>
      <c r="AM94" s="11"/>
      <c r="AN94" s="10" t="str">
        <f t="shared" si="24"/>
        <v/>
      </c>
      <c r="AO94" s="10" t="str">
        <f t="shared" si="25"/>
        <v/>
      </c>
    </row>
    <row r="95" spans="4:41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f t="shared" si="18"/>
        <v>0</v>
      </c>
      <c r="P95" s="8" t="str">
        <f>IF(O95="","",VLOOKUP(O95,Lists!$E:$F,2,FALSE))</f>
        <v/>
      </c>
      <c r="AC95" s="10" t="str">
        <f t="shared" si="19"/>
        <v/>
      </c>
      <c r="AD95" s="11"/>
      <c r="AE95" s="10" t="str">
        <f t="shared" si="20"/>
        <v/>
      </c>
      <c r="AF95" s="10" t="str">
        <f t="shared" si="21"/>
        <v/>
      </c>
      <c r="AJ95" t="str">
        <f t="shared" si="22"/>
        <v/>
      </c>
      <c r="AL95" s="10" t="str">
        <f t="shared" si="23"/>
        <v/>
      </c>
      <c r="AM95" s="11"/>
      <c r="AN95" s="10" t="str">
        <f t="shared" si="24"/>
        <v/>
      </c>
      <c r="AO95" s="10" t="str">
        <f t="shared" si="25"/>
        <v/>
      </c>
    </row>
    <row r="96" spans="4:41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f t="shared" si="18"/>
        <v>0</v>
      </c>
      <c r="P96" s="8" t="str">
        <f>IF(O96="","",VLOOKUP(O96,Lists!$E:$F,2,FALSE))</f>
        <v/>
      </c>
      <c r="AC96" s="10" t="str">
        <f t="shared" si="19"/>
        <v/>
      </c>
      <c r="AD96" s="11"/>
      <c r="AE96" s="10" t="str">
        <f t="shared" si="20"/>
        <v/>
      </c>
      <c r="AF96" s="10" t="str">
        <f t="shared" si="21"/>
        <v/>
      </c>
      <c r="AJ96" t="str">
        <f t="shared" si="22"/>
        <v/>
      </c>
      <c r="AL96" s="10" t="str">
        <f t="shared" si="23"/>
        <v/>
      </c>
      <c r="AM96" s="11"/>
      <c r="AN96" s="10" t="str">
        <f t="shared" si="24"/>
        <v/>
      </c>
      <c r="AO96" s="10" t="str">
        <f t="shared" si="25"/>
        <v/>
      </c>
    </row>
    <row r="97" spans="4:41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f t="shared" si="18"/>
        <v>0</v>
      </c>
      <c r="P97" s="8" t="str">
        <f>IF(O97="","",VLOOKUP(O97,Lists!$E:$F,2,FALSE))</f>
        <v/>
      </c>
      <c r="AC97" s="10" t="str">
        <f t="shared" si="19"/>
        <v/>
      </c>
      <c r="AD97" s="11"/>
      <c r="AE97" s="10" t="str">
        <f t="shared" si="20"/>
        <v/>
      </c>
      <c r="AF97" s="10" t="str">
        <f t="shared" si="21"/>
        <v/>
      </c>
      <c r="AJ97" t="str">
        <f t="shared" si="22"/>
        <v/>
      </c>
      <c r="AL97" s="10" t="str">
        <f t="shared" si="23"/>
        <v/>
      </c>
      <c r="AM97" s="11"/>
      <c r="AN97" s="10" t="str">
        <f t="shared" si="24"/>
        <v/>
      </c>
      <c r="AO97" s="10" t="str">
        <f t="shared" si="25"/>
        <v/>
      </c>
    </row>
    <row r="98" spans="4:41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f t="shared" ref="M98:M129" si="26">IF(K98="Eigen Beheer",0,IF(AND(ISNUMBER(L98),I98&lt;&gt;"",H98&lt;&gt;""),(L98*12/365)*(I98-H98),0))</f>
        <v>0</v>
      </c>
      <c r="P98" s="8" t="str">
        <f>IF(O98="","",VLOOKUP(O98,Lists!$E:$F,2,FALSE))</f>
        <v/>
      </c>
      <c r="AC98" s="10" t="str">
        <f t="shared" ref="AC98:AC129" si="27">IF(AND(AA98&lt;&gt;"",AB98&lt;&gt;""),AA98*AB98,"")</f>
        <v/>
      </c>
      <c r="AD98" s="11"/>
      <c r="AE98" s="10" t="str">
        <f t="shared" ref="AE98:AE129" si="28">IF(AND(AC98&lt;&gt;"",AD98&lt;&gt;""),AC98*AD98,"")</f>
        <v/>
      </c>
      <c r="AF98" s="10" t="str">
        <f t="shared" ref="AF98:AF129" si="29">IF(AND(AC98&lt;&gt;"",AE98&lt;&gt;""),AC98+AE98,"")</f>
        <v/>
      </c>
      <c r="AJ98" t="str">
        <f t="shared" ref="AJ98:AJ129" si="30">IF($B98="GWE_Item",IF($AG98="Elektra",SUMIFS($U:$U,$A:$A,$A98,$B:$B,"GWE")-SUMIFS($T:$T,$A:$A,$A98,$B:$B,"GWE"),IF($AG98="Gas",SUMIFS($W:$W,$A:$A,$A98,$B:$B,"GWE")-SUMIFS($V:$V,$A:$A,$A98,$B:$B,"GWE"),IF($AG98="Water",SUMIFS($Y:$Y,$A:$A,$A98,$B:$B,"GWE")-SUMIFS($X:$X,$A:$A,$A98,$B:$B,"GWE"),""))),"")</f>
        <v/>
      </c>
      <c r="AL98" s="10" t="str">
        <f t="shared" ref="AL98:AL129" si="31">IF(AND(AJ98&lt;&gt;"",AK98&lt;&gt;""),AJ98*AK98,"")</f>
        <v/>
      </c>
      <c r="AM98" s="11"/>
      <c r="AN98" s="10" t="str">
        <f t="shared" ref="AN98:AN129" si="32">IF(AND(AL98&lt;&gt;"",AM98&lt;&gt;""),AL98*AM98,"")</f>
        <v/>
      </c>
      <c r="AO98" s="10" t="str">
        <f t="shared" ref="AO98:AO129" si="33">IF(AND(AL98&lt;&gt;"",AN98&lt;&gt;""),AL98+AN98,"")</f>
        <v/>
      </c>
    </row>
    <row r="99" spans="4:41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f t="shared" si="26"/>
        <v>0</v>
      </c>
      <c r="P99" s="8" t="str">
        <f>IF(O99="","",VLOOKUP(O99,Lists!$E:$F,2,FALSE))</f>
        <v/>
      </c>
      <c r="AC99" s="10" t="str">
        <f t="shared" si="27"/>
        <v/>
      </c>
      <c r="AD99" s="11"/>
      <c r="AE99" s="10" t="str">
        <f t="shared" si="28"/>
        <v/>
      </c>
      <c r="AF99" s="10" t="str">
        <f t="shared" si="29"/>
        <v/>
      </c>
      <c r="AJ99" t="str">
        <f t="shared" si="30"/>
        <v/>
      </c>
      <c r="AL99" s="10" t="str">
        <f t="shared" si="31"/>
        <v/>
      </c>
      <c r="AM99" s="11"/>
      <c r="AN99" s="10" t="str">
        <f t="shared" si="32"/>
        <v/>
      </c>
      <c r="AO99" s="10" t="str">
        <f t="shared" si="33"/>
        <v/>
      </c>
    </row>
    <row r="100" spans="4:41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f t="shared" si="26"/>
        <v>0</v>
      </c>
      <c r="P100" s="8" t="str">
        <f>IF(O100="","",VLOOKUP(O100,Lists!$E:$F,2,FALSE))</f>
        <v/>
      </c>
      <c r="AC100" s="10" t="str">
        <f t="shared" si="27"/>
        <v/>
      </c>
      <c r="AD100" s="11"/>
      <c r="AE100" s="10" t="str">
        <f t="shared" si="28"/>
        <v/>
      </c>
      <c r="AF100" s="10" t="str">
        <f t="shared" si="29"/>
        <v/>
      </c>
      <c r="AJ100" t="str">
        <f t="shared" si="30"/>
        <v/>
      </c>
      <c r="AL100" s="10" t="str">
        <f t="shared" si="31"/>
        <v/>
      </c>
      <c r="AM100" s="11"/>
      <c r="AN100" s="10" t="str">
        <f t="shared" si="32"/>
        <v/>
      </c>
      <c r="AO100" s="10" t="str">
        <f t="shared" si="33"/>
        <v/>
      </c>
    </row>
    <row r="101" spans="4:41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f t="shared" si="26"/>
        <v>0</v>
      </c>
      <c r="P101" s="8" t="str">
        <f>IF(O101="","",VLOOKUP(O101,Lists!$E:$F,2,FALSE))</f>
        <v/>
      </c>
      <c r="AC101" s="10" t="str">
        <f t="shared" si="27"/>
        <v/>
      </c>
      <c r="AD101" s="11"/>
      <c r="AE101" s="10" t="str">
        <f t="shared" si="28"/>
        <v/>
      </c>
      <c r="AF101" s="10" t="str">
        <f t="shared" si="29"/>
        <v/>
      </c>
      <c r="AJ101" t="str">
        <f t="shared" si="30"/>
        <v/>
      </c>
      <c r="AL101" s="10" t="str">
        <f t="shared" si="31"/>
        <v/>
      </c>
      <c r="AM101" s="11"/>
      <c r="AN101" s="10" t="str">
        <f t="shared" si="32"/>
        <v/>
      </c>
      <c r="AO101" s="10" t="str">
        <f t="shared" si="33"/>
        <v/>
      </c>
    </row>
    <row r="102" spans="4:41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f t="shared" si="26"/>
        <v>0</v>
      </c>
      <c r="P102" s="8" t="str">
        <f>IF(O102="","",VLOOKUP(O102,Lists!$E:$F,2,FALSE))</f>
        <v/>
      </c>
      <c r="AC102" s="10" t="str">
        <f t="shared" si="27"/>
        <v/>
      </c>
      <c r="AD102" s="11"/>
      <c r="AE102" s="10" t="str">
        <f t="shared" si="28"/>
        <v/>
      </c>
      <c r="AF102" s="10" t="str">
        <f t="shared" si="29"/>
        <v/>
      </c>
      <c r="AJ102" t="str">
        <f t="shared" si="30"/>
        <v/>
      </c>
      <c r="AL102" s="10" t="str">
        <f t="shared" si="31"/>
        <v/>
      </c>
      <c r="AM102" s="11"/>
      <c r="AN102" s="10" t="str">
        <f t="shared" si="32"/>
        <v/>
      </c>
      <c r="AO102" s="10" t="str">
        <f t="shared" si="33"/>
        <v/>
      </c>
    </row>
    <row r="103" spans="4:41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f t="shared" si="26"/>
        <v>0</v>
      </c>
      <c r="P103" s="8" t="str">
        <f>IF(O103="","",VLOOKUP(O103,Lists!$E:$F,2,FALSE))</f>
        <v/>
      </c>
      <c r="AC103" s="10" t="str">
        <f t="shared" si="27"/>
        <v/>
      </c>
      <c r="AD103" s="11"/>
      <c r="AE103" s="10" t="str">
        <f t="shared" si="28"/>
        <v/>
      </c>
      <c r="AF103" s="10" t="str">
        <f t="shared" si="29"/>
        <v/>
      </c>
      <c r="AJ103" t="str">
        <f t="shared" si="30"/>
        <v/>
      </c>
      <c r="AL103" s="10" t="str">
        <f t="shared" si="31"/>
        <v/>
      </c>
      <c r="AM103" s="11"/>
      <c r="AN103" s="10" t="str">
        <f t="shared" si="32"/>
        <v/>
      </c>
      <c r="AO103" s="10" t="str">
        <f t="shared" si="33"/>
        <v/>
      </c>
    </row>
    <row r="104" spans="4:41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f t="shared" si="26"/>
        <v>0</v>
      </c>
      <c r="P104" s="8" t="str">
        <f>IF(O104="","",VLOOKUP(O104,Lists!$E:$F,2,FALSE))</f>
        <v/>
      </c>
      <c r="AC104" s="10" t="str">
        <f t="shared" si="27"/>
        <v/>
      </c>
      <c r="AD104" s="11"/>
      <c r="AE104" s="10" t="str">
        <f t="shared" si="28"/>
        <v/>
      </c>
      <c r="AF104" s="10" t="str">
        <f t="shared" si="29"/>
        <v/>
      </c>
      <c r="AJ104" t="str">
        <f t="shared" si="30"/>
        <v/>
      </c>
      <c r="AL104" s="10" t="str">
        <f t="shared" si="31"/>
        <v/>
      </c>
      <c r="AM104" s="11"/>
      <c r="AN104" s="10" t="str">
        <f t="shared" si="32"/>
        <v/>
      </c>
      <c r="AO104" s="10" t="str">
        <f t="shared" si="33"/>
        <v/>
      </c>
    </row>
    <row r="105" spans="4:41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f t="shared" si="26"/>
        <v>0</v>
      </c>
      <c r="P105" s="8" t="str">
        <f>IF(O105="","",VLOOKUP(O105,Lists!$E:$F,2,FALSE))</f>
        <v/>
      </c>
      <c r="AC105" s="10" t="str">
        <f t="shared" si="27"/>
        <v/>
      </c>
      <c r="AD105" s="11"/>
      <c r="AE105" s="10" t="str">
        <f t="shared" si="28"/>
        <v/>
      </c>
      <c r="AF105" s="10" t="str">
        <f t="shared" si="29"/>
        <v/>
      </c>
      <c r="AJ105" t="str">
        <f t="shared" si="30"/>
        <v/>
      </c>
      <c r="AL105" s="10" t="str">
        <f t="shared" si="31"/>
        <v/>
      </c>
      <c r="AM105" s="11"/>
      <c r="AN105" s="10" t="str">
        <f t="shared" si="32"/>
        <v/>
      </c>
      <c r="AO105" s="10" t="str">
        <f t="shared" si="33"/>
        <v/>
      </c>
    </row>
    <row r="106" spans="4:41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f t="shared" si="26"/>
        <v>0</v>
      </c>
      <c r="P106" s="8" t="str">
        <f>IF(O106="","",VLOOKUP(O106,Lists!$E:$F,2,FALSE))</f>
        <v/>
      </c>
      <c r="AC106" s="10" t="str">
        <f t="shared" si="27"/>
        <v/>
      </c>
      <c r="AD106" s="11"/>
      <c r="AE106" s="10" t="str">
        <f t="shared" si="28"/>
        <v/>
      </c>
      <c r="AF106" s="10" t="str">
        <f t="shared" si="29"/>
        <v/>
      </c>
      <c r="AJ106" t="str">
        <f t="shared" si="30"/>
        <v/>
      </c>
      <c r="AL106" s="10" t="str">
        <f t="shared" si="31"/>
        <v/>
      </c>
      <c r="AM106" s="11"/>
      <c r="AN106" s="10" t="str">
        <f t="shared" si="32"/>
        <v/>
      </c>
      <c r="AO106" s="10" t="str">
        <f t="shared" si="33"/>
        <v/>
      </c>
    </row>
    <row r="107" spans="4:41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f t="shared" si="26"/>
        <v>0</v>
      </c>
      <c r="P107" s="8" t="str">
        <f>IF(O107="","",VLOOKUP(O107,Lists!$E:$F,2,FALSE))</f>
        <v/>
      </c>
      <c r="AC107" s="10" t="str">
        <f t="shared" si="27"/>
        <v/>
      </c>
      <c r="AD107" s="11"/>
      <c r="AE107" s="10" t="str">
        <f t="shared" si="28"/>
        <v/>
      </c>
      <c r="AF107" s="10" t="str">
        <f t="shared" si="29"/>
        <v/>
      </c>
      <c r="AJ107" t="str">
        <f t="shared" si="30"/>
        <v/>
      </c>
      <c r="AL107" s="10" t="str">
        <f t="shared" si="31"/>
        <v/>
      </c>
      <c r="AM107" s="11"/>
      <c r="AN107" s="10" t="str">
        <f t="shared" si="32"/>
        <v/>
      </c>
      <c r="AO107" s="10" t="str">
        <f t="shared" si="33"/>
        <v/>
      </c>
    </row>
    <row r="108" spans="4:41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f t="shared" si="26"/>
        <v>0</v>
      </c>
      <c r="P108" s="8" t="str">
        <f>IF(O108="","",VLOOKUP(O108,Lists!$E:$F,2,FALSE))</f>
        <v/>
      </c>
      <c r="AC108" s="10" t="str">
        <f t="shared" si="27"/>
        <v/>
      </c>
      <c r="AD108" s="11"/>
      <c r="AE108" s="10" t="str">
        <f t="shared" si="28"/>
        <v/>
      </c>
      <c r="AF108" s="10" t="str">
        <f t="shared" si="29"/>
        <v/>
      </c>
      <c r="AJ108" t="str">
        <f t="shared" si="30"/>
        <v/>
      </c>
      <c r="AL108" s="10" t="str">
        <f t="shared" si="31"/>
        <v/>
      </c>
      <c r="AM108" s="11"/>
      <c r="AN108" s="10" t="str">
        <f t="shared" si="32"/>
        <v/>
      </c>
      <c r="AO108" s="10" t="str">
        <f t="shared" si="33"/>
        <v/>
      </c>
    </row>
    <row r="109" spans="4:41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f t="shared" si="26"/>
        <v>0</v>
      </c>
      <c r="P109" s="8" t="str">
        <f>IF(O109="","",VLOOKUP(O109,Lists!$E:$F,2,FALSE))</f>
        <v/>
      </c>
      <c r="AC109" s="10" t="str">
        <f t="shared" si="27"/>
        <v/>
      </c>
      <c r="AD109" s="11"/>
      <c r="AE109" s="10" t="str">
        <f t="shared" si="28"/>
        <v/>
      </c>
      <c r="AF109" s="10" t="str">
        <f t="shared" si="29"/>
        <v/>
      </c>
      <c r="AJ109" t="str">
        <f t="shared" si="30"/>
        <v/>
      </c>
      <c r="AL109" s="10" t="str">
        <f t="shared" si="31"/>
        <v/>
      </c>
      <c r="AM109" s="11"/>
      <c r="AN109" s="10" t="str">
        <f t="shared" si="32"/>
        <v/>
      </c>
      <c r="AO109" s="10" t="str">
        <f t="shared" si="33"/>
        <v/>
      </c>
    </row>
    <row r="110" spans="4:41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f t="shared" si="26"/>
        <v>0</v>
      </c>
      <c r="P110" s="8" t="str">
        <f>IF(O110="","",VLOOKUP(O110,Lists!$E:$F,2,FALSE))</f>
        <v/>
      </c>
      <c r="AC110" s="10" t="str">
        <f t="shared" si="27"/>
        <v/>
      </c>
      <c r="AD110" s="11"/>
      <c r="AE110" s="10" t="str">
        <f t="shared" si="28"/>
        <v/>
      </c>
      <c r="AF110" s="10" t="str">
        <f t="shared" si="29"/>
        <v/>
      </c>
      <c r="AJ110" t="str">
        <f t="shared" si="30"/>
        <v/>
      </c>
      <c r="AL110" s="10" t="str">
        <f t="shared" si="31"/>
        <v/>
      </c>
      <c r="AM110" s="11"/>
      <c r="AN110" s="10" t="str">
        <f t="shared" si="32"/>
        <v/>
      </c>
      <c r="AO110" s="10" t="str">
        <f t="shared" si="33"/>
        <v/>
      </c>
    </row>
    <row r="111" spans="4:41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f t="shared" si="26"/>
        <v>0</v>
      </c>
      <c r="P111" s="8" t="str">
        <f>IF(O111="","",VLOOKUP(O111,Lists!$E:$F,2,FALSE))</f>
        <v/>
      </c>
      <c r="AC111" s="10" t="str">
        <f t="shared" si="27"/>
        <v/>
      </c>
      <c r="AD111" s="11"/>
      <c r="AE111" s="10" t="str">
        <f t="shared" si="28"/>
        <v/>
      </c>
      <c r="AF111" s="10" t="str">
        <f t="shared" si="29"/>
        <v/>
      </c>
      <c r="AJ111" t="str">
        <f t="shared" si="30"/>
        <v/>
      </c>
      <c r="AL111" s="10" t="str">
        <f t="shared" si="31"/>
        <v/>
      </c>
      <c r="AM111" s="11"/>
      <c r="AN111" s="10" t="str">
        <f t="shared" si="32"/>
        <v/>
      </c>
      <c r="AO111" s="10" t="str">
        <f t="shared" si="33"/>
        <v/>
      </c>
    </row>
    <row r="112" spans="4:41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f t="shared" si="26"/>
        <v>0</v>
      </c>
      <c r="P112" s="8" t="str">
        <f>IF(O112="","",VLOOKUP(O112,Lists!$E:$F,2,FALSE))</f>
        <v/>
      </c>
      <c r="AC112" s="10" t="str">
        <f t="shared" si="27"/>
        <v/>
      </c>
      <c r="AD112" s="11"/>
      <c r="AE112" s="10" t="str">
        <f t="shared" si="28"/>
        <v/>
      </c>
      <c r="AF112" s="10" t="str">
        <f t="shared" si="29"/>
        <v/>
      </c>
      <c r="AJ112" t="str">
        <f t="shared" si="30"/>
        <v/>
      </c>
      <c r="AL112" s="10" t="str">
        <f t="shared" si="31"/>
        <v/>
      </c>
      <c r="AM112" s="11"/>
      <c r="AN112" s="10" t="str">
        <f t="shared" si="32"/>
        <v/>
      </c>
      <c r="AO112" s="10" t="str">
        <f t="shared" si="33"/>
        <v/>
      </c>
    </row>
    <row r="113" spans="4:41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f t="shared" si="26"/>
        <v>0</v>
      </c>
      <c r="P113" s="8" t="str">
        <f>IF(O113="","",VLOOKUP(O113,Lists!$E:$F,2,FALSE))</f>
        <v/>
      </c>
      <c r="AC113" s="10" t="str">
        <f t="shared" si="27"/>
        <v/>
      </c>
      <c r="AD113" s="11"/>
      <c r="AE113" s="10" t="str">
        <f t="shared" si="28"/>
        <v/>
      </c>
      <c r="AF113" s="10" t="str">
        <f t="shared" si="29"/>
        <v/>
      </c>
      <c r="AJ113" t="str">
        <f t="shared" si="30"/>
        <v/>
      </c>
      <c r="AL113" s="10" t="str">
        <f t="shared" si="31"/>
        <v/>
      </c>
      <c r="AM113" s="11"/>
      <c r="AN113" s="10" t="str">
        <f t="shared" si="32"/>
        <v/>
      </c>
      <c r="AO113" s="10" t="str">
        <f t="shared" si="33"/>
        <v/>
      </c>
    </row>
    <row r="114" spans="4:41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f t="shared" si="26"/>
        <v>0</v>
      </c>
      <c r="P114" s="8" t="str">
        <f>IF(O114="","",VLOOKUP(O114,Lists!$E:$F,2,FALSE))</f>
        <v/>
      </c>
      <c r="AC114" s="10" t="str">
        <f t="shared" si="27"/>
        <v/>
      </c>
      <c r="AD114" s="11"/>
      <c r="AE114" s="10" t="str">
        <f t="shared" si="28"/>
        <v/>
      </c>
      <c r="AF114" s="10" t="str">
        <f t="shared" si="29"/>
        <v/>
      </c>
      <c r="AJ114" t="str">
        <f t="shared" si="30"/>
        <v/>
      </c>
      <c r="AL114" s="10" t="str">
        <f t="shared" si="31"/>
        <v/>
      </c>
      <c r="AM114" s="11"/>
      <c r="AN114" s="10" t="str">
        <f t="shared" si="32"/>
        <v/>
      </c>
      <c r="AO114" s="10" t="str">
        <f t="shared" si="33"/>
        <v/>
      </c>
    </row>
    <row r="115" spans="4:41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f t="shared" si="26"/>
        <v>0</v>
      </c>
      <c r="P115" s="8" t="str">
        <f>IF(O115="","",VLOOKUP(O115,Lists!$E:$F,2,FALSE))</f>
        <v/>
      </c>
      <c r="AC115" s="10" t="str">
        <f t="shared" si="27"/>
        <v/>
      </c>
      <c r="AD115" s="11"/>
      <c r="AE115" s="10" t="str">
        <f t="shared" si="28"/>
        <v/>
      </c>
      <c r="AF115" s="10" t="str">
        <f t="shared" si="29"/>
        <v/>
      </c>
      <c r="AJ115" t="str">
        <f t="shared" si="30"/>
        <v/>
      </c>
      <c r="AL115" s="10" t="str">
        <f t="shared" si="31"/>
        <v/>
      </c>
      <c r="AM115" s="11"/>
      <c r="AN115" s="10" t="str">
        <f t="shared" si="32"/>
        <v/>
      </c>
      <c r="AO115" s="10" t="str">
        <f t="shared" si="33"/>
        <v/>
      </c>
    </row>
    <row r="116" spans="4:41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f t="shared" si="26"/>
        <v>0</v>
      </c>
      <c r="P116" s="8" t="str">
        <f>IF(O116="","",VLOOKUP(O116,Lists!$E:$F,2,FALSE))</f>
        <v/>
      </c>
      <c r="AC116" s="10" t="str">
        <f t="shared" si="27"/>
        <v/>
      </c>
      <c r="AD116" s="11"/>
      <c r="AE116" s="10" t="str">
        <f t="shared" si="28"/>
        <v/>
      </c>
      <c r="AF116" s="10" t="str">
        <f t="shared" si="29"/>
        <v/>
      </c>
      <c r="AJ116" t="str">
        <f t="shared" si="30"/>
        <v/>
      </c>
      <c r="AL116" s="10" t="str">
        <f t="shared" si="31"/>
        <v/>
      </c>
      <c r="AM116" s="11"/>
      <c r="AN116" s="10" t="str">
        <f t="shared" si="32"/>
        <v/>
      </c>
      <c r="AO116" s="10" t="str">
        <f t="shared" si="33"/>
        <v/>
      </c>
    </row>
    <row r="117" spans="4:41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f t="shared" si="26"/>
        <v>0</v>
      </c>
      <c r="P117" s="8" t="str">
        <f>IF(O117="","",VLOOKUP(O117,Lists!$E:$F,2,FALSE))</f>
        <v/>
      </c>
      <c r="AC117" s="10" t="str">
        <f t="shared" si="27"/>
        <v/>
      </c>
      <c r="AD117" s="11"/>
      <c r="AE117" s="10" t="str">
        <f t="shared" si="28"/>
        <v/>
      </c>
      <c r="AF117" s="10" t="str">
        <f t="shared" si="29"/>
        <v/>
      </c>
      <c r="AJ117" t="str">
        <f t="shared" si="30"/>
        <v/>
      </c>
      <c r="AL117" s="10" t="str">
        <f t="shared" si="31"/>
        <v/>
      </c>
      <c r="AM117" s="11"/>
      <c r="AN117" s="10" t="str">
        <f t="shared" si="32"/>
        <v/>
      </c>
      <c r="AO117" s="10" t="str">
        <f t="shared" si="33"/>
        <v/>
      </c>
    </row>
    <row r="118" spans="4:41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f t="shared" si="26"/>
        <v>0</v>
      </c>
      <c r="P118" s="8" t="str">
        <f>IF(O118="","",VLOOKUP(O118,Lists!$E:$F,2,FALSE))</f>
        <v/>
      </c>
      <c r="AC118" s="10" t="str">
        <f t="shared" si="27"/>
        <v/>
      </c>
      <c r="AD118" s="11"/>
      <c r="AE118" s="10" t="str">
        <f t="shared" si="28"/>
        <v/>
      </c>
      <c r="AF118" s="10" t="str">
        <f t="shared" si="29"/>
        <v/>
      </c>
      <c r="AJ118" t="str">
        <f t="shared" si="30"/>
        <v/>
      </c>
      <c r="AL118" s="10" t="str">
        <f t="shared" si="31"/>
        <v/>
      </c>
      <c r="AM118" s="11"/>
      <c r="AN118" s="10" t="str">
        <f t="shared" si="32"/>
        <v/>
      </c>
      <c r="AO118" s="10" t="str">
        <f t="shared" si="33"/>
        <v/>
      </c>
    </row>
    <row r="119" spans="4:41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f t="shared" si="26"/>
        <v>0</v>
      </c>
      <c r="P119" s="8" t="str">
        <f>IF(O119="","",VLOOKUP(O119,Lists!$E:$F,2,FALSE))</f>
        <v/>
      </c>
      <c r="AC119" s="10" t="str">
        <f t="shared" si="27"/>
        <v/>
      </c>
      <c r="AD119" s="11"/>
      <c r="AE119" s="10" t="str">
        <f t="shared" si="28"/>
        <v/>
      </c>
      <c r="AF119" s="10" t="str">
        <f t="shared" si="29"/>
        <v/>
      </c>
      <c r="AJ119" t="str">
        <f t="shared" si="30"/>
        <v/>
      </c>
      <c r="AL119" s="10" t="str">
        <f t="shared" si="31"/>
        <v/>
      </c>
      <c r="AM119" s="11"/>
      <c r="AN119" s="10" t="str">
        <f t="shared" si="32"/>
        <v/>
      </c>
      <c r="AO119" s="10" t="str">
        <f t="shared" si="33"/>
        <v/>
      </c>
    </row>
    <row r="120" spans="4:41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f t="shared" si="26"/>
        <v>0</v>
      </c>
      <c r="P120" s="8" t="str">
        <f>IF(O120="","",VLOOKUP(O120,Lists!$E:$F,2,FALSE))</f>
        <v/>
      </c>
      <c r="AC120" s="10" t="str">
        <f t="shared" si="27"/>
        <v/>
      </c>
      <c r="AD120" s="11"/>
      <c r="AE120" s="10" t="str">
        <f t="shared" si="28"/>
        <v/>
      </c>
      <c r="AF120" s="10" t="str">
        <f t="shared" si="29"/>
        <v/>
      </c>
      <c r="AJ120" t="str">
        <f t="shared" si="30"/>
        <v/>
      </c>
      <c r="AL120" s="10" t="str">
        <f t="shared" si="31"/>
        <v/>
      </c>
      <c r="AM120" s="11"/>
      <c r="AN120" s="10" t="str">
        <f t="shared" si="32"/>
        <v/>
      </c>
      <c r="AO120" s="10" t="str">
        <f t="shared" si="33"/>
        <v/>
      </c>
    </row>
    <row r="121" spans="4:41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f t="shared" si="26"/>
        <v>0</v>
      </c>
      <c r="P121" s="8" t="str">
        <f>IF(O121="","",VLOOKUP(O121,Lists!$E:$F,2,FALSE))</f>
        <v/>
      </c>
      <c r="AC121" s="10" t="str">
        <f t="shared" si="27"/>
        <v/>
      </c>
      <c r="AD121" s="11"/>
      <c r="AE121" s="10" t="str">
        <f t="shared" si="28"/>
        <v/>
      </c>
      <c r="AF121" s="10" t="str">
        <f t="shared" si="29"/>
        <v/>
      </c>
      <c r="AJ121" t="str">
        <f t="shared" si="30"/>
        <v/>
      </c>
      <c r="AL121" s="10" t="str">
        <f t="shared" si="31"/>
        <v/>
      </c>
      <c r="AM121" s="11"/>
      <c r="AN121" s="10" t="str">
        <f t="shared" si="32"/>
        <v/>
      </c>
      <c r="AO121" s="10" t="str">
        <f t="shared" si="33"/>
        <v/>
      </c>
    </row>
    <row r="122" spans="4:41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f t="shared" si="26"/>
        <v>0</v>
      </c>
      <c r="P122" s="8" t="str">
        <f>IF(O122="","",VLOOKUP(O122,Lists!$E:$F,2,FALSE))</f>
        <v/>
      </c>
      <c r="AC122" s="10" t="str">
        <f t="shared" si="27"/>
        <v/>
      </c>
      <c r="AD122" s="11"/>
      <c r="AE122" s="10" t="str">
        <f t="shared" si="28"/>
        <v/>
      </c>
      <c r="AF122" s="10" t="str">
        <f t="shared" si="29"/>
        <v/>
      </c>
      <c r="AJ122" t="str">
        <f t="shared" si="30"/>
        <v/>
      </c>
      <c r="AL122" s="10" t="str">
        <f t="shared" si="31"/>
        <v/>
      </c>
      <c r="AM122" s="11"/>
      <c r="AN122" s="10" t="str">
        <f t="shared" si="32"/>
        <v/>
      </c>
      <c r="AO122" s="10" t="str">
        <f t="shared" si="33"/>
        <v/>
      </c>
    </row>
    <row r="123" spans="4:41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f t="shared" si="26"/>
        <v>0</v>
      </c>
      <c r="P123" s="8" t="str">
        <f>IF(O123="","",VLOOKUP(O123,Lists!$E:$F,2,FALSE))</f>
        <v/>
      </c>
      <c r="AC123" s="10" t="str">
        <f t="shared" si="27"/>
        <v/>
      </c>
      <c r="AD123" s="11"/>
      <c r="AE123" s="10" t="str">
        <f t="shared" si="28"/>
        <v/>
      </c>
      <c r="AF123" s="10" t="str">
        <f t="shared" si="29"/>
        <v/>
      </c>
      <c r="AJ123" t="str">
        <f t="shared" si="30"/>
        <v/>
      </c>
      <c r="AL123" s="10" t="str">
        <f t="shared" si="31"/>
        <v/>
      </c>
      <c r="AM123" s="11"/>
      <c r="AN123" s="10" t="str">
        <f t="shared" si="32"/>
        <v/>
      </c>
      <c r="AO123" s="10" t="str">
        <f t="shared" si="33"/>
        <v/>
      </c>
    </row>
    <row r="124" spans="4:41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f t="shared" si="26"/>
        <v>0</v>
      </c>
      <c r="P124" s="8" t="str">
        <f>IF(O124="","",VLOOKUP(O124,Lists!$E:$F,2,FALSE))</f>
        <v/>
      </c>
      <c r="AC124" s="10" t="str">
        <f t="shared" si="27"/>
        <v/>
      </c>
      <c r="AD124" s="11"/>
      <c r="AE124" s="10" t="str">
        <f t="shared" si="28"/>
        <v/>
      </c>
      <c r="AF124" s="10" t="str">
        <f t="shared" si="29"/>
        <v/>
      </c>
      <c r="AJ124" t="str">
        <f t="shared" si="30"/>
        <v/>
      </c>
      <c r="AL124" s="10" t="str">
        <f t="shared" si="31"/>
        <v/>
      </c>
      <c r="AM124" s="11"/>
      <c r="AN124" s="10" t="str">
        <f t="shared" si="32"/>
        <v/>
      </c>
      <c r="AO124" s="10" t="str">
        <f t="shared" si="33"/>
        <v/>
      </c>
    </row>
    <row r="125" spans="4:41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f t="shared" si="26"/>
        <v>0</v>
      </c>
      <c r="P125" s="8" t="str">
        <f>IF(O125="","",VLOOKUP(O125,Lists!$E:$F,2,FALSE))</f>
        <v/>
      </c>
      <c r="AC125" s="10" t="str">
        <f t="shared" si="27"/>
        <v/>
      </c>
      <c r="AD125" s="11"/>
      <c r="AE125" s="10" t="str">
        <f t="shared" si="28"/>
        <v/>
      </c>
      <c r="AF125" s="10" t="str">
        <f t="shared" si="29"/>
        <v/>
      </c>
      <c r="AJ125" t="str">
        <f t="shared" si="30"/>
        <v/>
      </c>
      <c r="AL125" s="10" t="str">
        <f t="shared" si="31"/>
        <v/>
      </c>
      <c r="AM125" s="11"/>
      <c r="AN125" s="10" t="str">
        <f t="shared" si="32"/>
        <v/>
      </c>
      <c r="AO125" s="10" t="str">
        <f t="shared" si="33"/>
        <v/>
      </c>
    </row>
    <row r="126" spans="4:41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f t="shared" si="26"/>
        <v>0</v>
      </c>
      <c r="P126" s="8" t="str">
        <f>IF(O126="","",VLOOKUP(O126,Lists!$E:$F,2,FALSE))</f>
        <v/>
      </c>
      <c r="AC126" s="10" t="str">
        <f t="shared" si="27"/>
        <v/>
      </c>
      <c r="AD126" s="11"/>
      <c r="AE126" s="10" t="str">
        <f t="shared" si="28"/>
        <v/>
      </c>
      <c r="AF126" s="10" t="str">
        <f t="shared" si="29"/>
        <v/>
      </c>
      <c r="AJ126" t="str">
        <f t="shared" si="30"/>
        <v/>
      </c>
      <c r="AL126" s="10" t="str">
        <f t="shared" si="31"/>
        <v/>
      </c>
      <c r="AM126" s="11"/>
      <c r="AN126" s="10" t="str">
        <f t="shared" si="32"/>
        <v/>
      </c>
      <c r="AO126" s="10" t="str">
        <f t="shared" si="33"/>
        <v/>
      </c>
    </row>
    <row r="127" spans="4:41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f t="shared" si="26"/>
        <v>0</v>
      </c>
      <c r="P127" s="8" t="str">
        <f>IF(O127="","",VLOOKUP(O127,Lists!$E:$F,2,FALSE))</f>
        <v/>
      </c>
      <c r="AC127" s="10" t="str">
        <f t="shared" si="27"/>
        <v/>
      </c>
      <c r="AD127" s="11"/>
      <c r="AE127" s="10" t="str">
        <f t="shared" si="28"/>
        <v/>
      </c>
      <c r="AF127" s="10" t="str">
        <f t="shared" si="29"/>
        <v/>
      </c>
      <c r="AJ127" t="str">
        <f t="shared" si="30"/>
        <v/>
      </c>
      <c r="AL127" s="10" t="str">
        <f t="shared" si="31"/>
        <v/>
      </c>
      <c r="AM127" s="11"/>
      <c r="AN127" s="10" t="str">
        <f t="shared" si="32"/>
        <v/>
      </c>
      <c r="AO127" s="10" t="str">
        <f t="shared" si="33"/>
        <v/>
      </c>
    </row>
    <row r="128" spans="4:41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f t="shared" si="26"/>
        <v>0</v>
      </c>
      <c r="P128" s="8" t="str">
        <f>IF(O128="","",VLOOKUP(O128,Lists!$E:$F,2,FALSE))</f>
        <v/>
      </c>
      <c r="AC128" s="10" t="str">
        <f t="shared" si="27"/>
        <v/>
      </c>
      <c r="AD128" s="11"/>
      <c r="AE128" s="10" t="str">
        <f t="shared" si="28"/>
        <v/>
      </c>
      <c r="AF128" s="10" t="str">
        <f t="shared" si="29"/>
        <v/>
      </c>
      <c r="AJ128" t="str">
        <f t="shared" si="30"/>
        <v/>
      </c>
      <c r="AL128" s="10" t="str">
        <f t="shared" si="31"/>
        <v/>
      </c>
      <c r="AM128" s="11"/>
      <c r="AN128" s="10" t="str">
        <f t="shared" si="32"/>
        <v/>
      </c>
      <c r="AO128" s="10" t="str">
        <f t="shared" si="33"/>
        <v/>
      </c>
    </row>
    <row r="129" spans="4:41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f t="shared" si="26"/>
        <v>0</v>
      </c>
      <c r="P129" s="8" t="str">
        <f>IF(O129="","",VLOOKUP(O129,Lists!$E:$F,2,FALSE))</f>
        <v/>
      </c>
      <c r="AC129" s="10" t="str">
        <f t="shared" si="27"/>
        <v/>
      </c>
      <c r="AD129" s="11"/>
      <c r="AE129" s="10" t="str">
        <f t="shared" si="28"/>
        <v/>
      </c>
      <c r="AF129" s="10" t="str">
        <f t="shared" si="29"/>
        <v/>
      </c>
      <c r="AJ129" t="str">
        <f t="shared" si="30"/>
        <v/>
      </c>
      <c r="AL129" s="10" t="str">
        <f t="shared" si="31"/>
        <v/>
      </c>
      <c r="AM129" s="11"/>
      <c r="AN129" s="10" t="str">
        <f t="shared" si="32"/>
        <v/>
      </c>
      <c r="AO129" s="10" t="str">
        <f t="shared" si="33"/>
        <v/>
      </c>
    </row>
    <row r="130" spans="4:41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f t="shared" ref="M130:M161" si="34">IF(K130="Eigen Beheer",0,IF(AND(ISNUMBER(L130),I130&lt;&gt;"",H130&lt;&gt;""),(L130*12/365)*(I130-H130),0))</f>
        <v>0</v>
      </c>
      <c r="P130" s="8" t="str">
        <f>IF(O130="","",VLOOKUP(O130,Lists!$E:$F,2,FALSE))</f>
        <v/>
      </c>
      <c r="AC130" s="10" t="str">
        <f t="shared" ref="AC130:AC161" si="35">IF(AND(AA130&lt;&gt;"",AB130&lt;&gt;""),AA130*AB130,"")</f>
        <v/>
      </c>
      <c r="AD130" s="11"/>
      <c r="AE130" s="10" t="str">
        <f t="shared" ref="AE130:AE161" si="36">IF(AND(AC130&lt;&gt;"",AD130&lt;&gt;""),AC130*AD130,"")</f>
        <v/>
      </c>
      <c r="AF130" s="10" t="str">
        <f t="shared" ref="AF130:AF161" si="37">IF(AND(AC130&lt;&gt;"",AE130&lt;&gt;""),AC130+AE130,"")</f>
        <v/>
      </c>
      <c r="AJ130" t="str">
        <f t="shared" ref="AJ130:AJ161" si="38"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L130" s="10" t="str">
        <f t="shared" ref="AL130:AL161" si="39">IF(AND(AJ130&lt;&gt;"",AK130&lt;&gt;""),AJ130*AK130,"")</f>
        <v/>
      </c>
      <c r="AM130" s="11"/>
      <c r="AN130" s="10" t="str">
        <f t="shared" ref="AN130:AN161" si="40">IF(AND(AL130&lt;&gt;"",AM130&lt;&gt;""),AL130*AM130,"")</f>
        <v/>
      </c>
      <c r="AO130" s="10" t="str">
        <f t="shared" ref="AO130:AO161" si="41">IF(AND(AL130&lt;&gt;"",AN130&lt;&gt;""),AL130+AN130,"")</f>
        <v/>
      </c>
    </row>
    <row r="131" spans="4:41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f t="shared" si="34"/>
        <v>0</v>
      </c>
      <c r="P131" s="8" t="str">
        <f>IF(O131="","",VLOOKUP(O131,Lists!$E:$F,2,FALSE))</f>
        <v/>
      </c>
      <c r="AC131" s="10" t="str">
        <f t="shared" si="35"/>
        <v/>
      </c>
      <c r="AD131" s="11"/>
      <c r="AE131" s="10" t="str">
        <f t="shared" si="36"/>
        <v/>
      </c>
      <c r="AF131" s="10" t="str">
        <f t="shared" si="37"/>
        <v/>
      </c>
      <c r="AJ131" t="str">
        <f t="shared" si="38"/>
        <v/>
      </c>
      <c r="AL131" s="10" t="str">
        <f t="shared" si="39"/>
        <v/>
      </c>
      <c r="AM131" s="11"/>
      <c r="AN131" s="10" t="str">
        <f t="shared" si="40"/>
        <v/>
      </c>
      <c r="AO131" s="10" t="str">
        <f t="shared" si="41"/>
        <v/>
      </c>
    </row>
    <row r="132" spans="4:41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f t="shared" si="34"/>
        <v>0</v>
      </c>
      <c r="P132" s="8" t="str">
        <f>IF(O132="","",VLOOKUP(O132,Lists!$E:$F,2,FALSE))</f>
        <v/>
      </c>
      <c r="AC132" s="10" t="str">
        <f t="shared" si="35"/>
        <v/>
      </c>
      <c r="AD132" s="11"/>
      <c r="AE132" s="10" t="str">
        <f t="shared" si="36"/>
        <v/>
      </c>
      <c r="AF132" s="10" t="str">
        <f t="shared" si="37"/>
        <v/>
      </c>
      <c r="AJ132" t="str">
        <f t="shared" si="38"/>
        <v/>
      </c>
      <c r="AL132" s="10" t="str">
        <f t="shared" si="39"/>
        <v/>
      </c>
      <c r="AM132" s="11"/>
      <c r="AN132" s="10" t="str">
        <f t="shared" si="40"/>
        <v/>
      </c>
      <c r="AO132" s="10" t="str">
        <f t="shared" si="41"/>
        <v/>
      </c>
    </row>
    <row r="133" spans="4:41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f t="shared" si="34"/>
        <v>0</v>
      </c>
      <c r="P133" s="8" t="str">
        <f>IF(O133="","",VLOOKUP(O133,Lists!$E:$F,2,FALSE))</f>
        <v/>
      </c>
      <c r="AC133" s="10" t="str">
        <f t="shared" si="35"/>
        <v/>
      </c>
      <c r="AD133" s="11"/>
      <c r="AE133" s="10" t="str">
        <f t="shared" si="36"/>
        <v/>
      </c>
      <c r="AF133" s="10" t="str">
        <f t="shared" si="37"/>
        <v/>
      </c>
      <c r="AJ133" t="str">
        <f t="shared" si="38"/>
        <v/>
      </c>
      <c r="AL133" s="10" t="str">
        <f t="shared" si="39"/>
        <v/>
      </c>
      <c r="AM133" s="11"/>
      <c r="AN133" s="10" t="str">
        <f t="shared" si="40"/>
        <v/>
      </c>
      <c r="AO133" s="10" t="str">
        <f t="shared" si="41"/>
        <v/>
      </c>
    </row>
    <row r="134" spans="4:41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f t="shared" si="34"/>
        <v>0</v>
      </c>
      <c r="P134" s="8" t="str">
        <f>IF(O134="","",VLOOKUP(O134,Lists!$E:$F,2,FALSE))</f>
        <v/>
      </c>
      <c r="AC134" s="10" t="str">
        <f t="shared" si="35"/>
        <v/>
      </c>
      <c r="AD134" s="11"/>
      <c r="AE134" s="10" t="str">
        <f t="shared" si="36"/>
        <v/>
      </c>
      <c r="AF134" s="10" t="str">
        <f t="shared" si="37"/>
        <v/>
      </c>
      <c r="AJ134" t="str">
        <f t="shared" si="38"/>
        <v/>
      </c>
      <c r="AL134" s="10" t="str">
        <f t="shared" si="39"/>
        <v/>
      </c>
      <c r="AM134" s="11"/>
      <c r="AN134" s="10" t="str">
        <f t="shared" si="40"/>
        <v/>
      </c>
      <c r="AO134" s="10" t="str">
        <f t="shared" si="41"/>
        <v/>
      </c>
    </row>
    <row r="135" spans="4:41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f t="shared" si="34"/>
        <v>0</v>
      </c>
      <c r="P135" s="8" t="str">
        <f>IF(O135="","",VLOOKUP(O135,Lists!$E:$F,2,FALSE))</f>
        <v/>
      </c>
      <c r="AC135" s="10" t="str">
        <f t="shared" si="35"/>
        <v/>
      </c>
      <c r="AD135" s="11"/>
      <c r="AE135" s="10" t="str">
        <f t="shared" si="36"/>
        <v/>
      </c>
      <c r="AF135" s="10" t="str">
        <f t="shared" si="37"/>
        <v/>
      </c>
      <c r="AJ135" t="str">
        <f t="shared" si="38"/>
        <v/>
      </c>
      <c r="AL135" s="10" t="str">
        <f t="shared" si="39"/>
        <v/>
      </c>
      <c r="AM135" s="11"/>
      <c r="AN135" s="10" t="str">
        <f t="shared" si="40"/>
        <v/>
      </c>
      <c r="AO135" s="10" t="str">
        <f t="shared" si="41"/>
        <v/>
      </c>
    </row>
    <row r="136" spans="4:41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f t="shared" si="34"/>
        <v>0</v>
      </c>
      <c r="P136" s="8" t="str">
        <f>IF(O136="","",VLOOKUP(O136,Lists!$E:$F,2,FALSE))</f>
        <v/>
      </c>
      <c r="AC136" s="10" t="str">
        <f t="shared" si="35"/>
        <v/>
      </c>
      <c r="AD136" s="11"/>
      <c r="AE136" s="10" t="str">
        <f t="shared" si="36"/>
        <v/>
      </c>
      <c r="AF136" s="10" t="str">
        <f t="shared" si="37"/>
        <v/>
      </c>
      <c r="AJ136" t="str">
        <f t="shared" si="38"/>
        <v/>
      </c>
      <c r="AL136" s="10" t="str">
        <f t="shared" si="39"/>
        <v/>
      </c>
      <c r="AM136" s="11"/>
      <c r="AN136" s="10" t="str">
        <f t="shared" si="40"/>
        <v/>
      </c>
      <c r="AO136" s="10" t="str">
        <f t="shared" si="41"/>
        <v/>
      </c>
    </row>
    <row r="137" spans="4:41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f t="shared" si="34"/>
        <v>0</v>
      </c>
      <c r="P137" s="8" t="str">
        <f>IF(O137="","",VLOOKUP(O137,Lists!$E:$F,2,FALSE))</f>
        <v/>
      </c>
      <c r="AC137" s="10" t="str">
        <f t="shared" si="35"/>
        <v/>
      </c>
      <c r="AD137" s="11"/>
      <c r="AE137" s="10" t="str">
        <f t="shared" si="36"/>
        <v/>
      </c>
      <c r="AF137" s="10" t="str">
        <f t="shared" si="37"/>
        <v/>
      </c>
      <c r="AJ137" t="str">
        <f t="shared" si="38"/>
        <v/>
      </c>
      <c r="AL137" s="10" t="str">
        <f t="shared" si="39"/>
        <v/>
      </c>
      <c r="AM137" s="11"/>
      <c r="AN137" s="10" t="str">
        <f t="shared" si="40"/>
        <v/>
      </c>
      <c r="AO137" s="10" t="str">
        <f t="shared" si="41"/>
        <v/>
      </c>
    </row>
    <row r="138" spans="4:41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f t="shared" si="34"/>
        <v>0</v>
      </c>
      <c r="P138" s="8" t="str">
        <f>IF(O138="","",VLOOKUP(O138,Lists!$E:$F,2,FALSE))</f>
        <v/>
      </c>
      <c r="AC138" s="10" t="str">
        <f t="shared" si="35"/>
        <v/>
      </c>
      <c r="AD138" s="11"/>
      <c r="AE138" s="10" t="str">
        <f t="shared" si="36"/>
        <v/>
      </c>
      <c r="AF138" s="10" t="str">
        <f t="shared" si="37"/>
        <v/>
      </c>
      <c r="AJ138" t="str">
        <f t="shared" si="38"/>
        <v/>
      </c>
      <c r="AL138" s="10" t="str">
        <f t="shared" si="39"/>
        <v/>
      </c>
      <c r="AM138" s="11"/>
      <c r="AN138" s="10" t="str">
        <f t="shared" si="40"/>
        <v/>
      </c>
      <c r="AO138" s="10" t="str">
        <f t="shared" si="41"/>
        <v/>
      </c>
    </row>
    <row r="139" spans="4:41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f t="shared" si="34"/>
        <v>0</v>
      </c>
      <c r="P139" s="8" t="str">
        <f>IF(O139="","",VLOOKUP(O139,Lists!$E:$F,2,FALSE))</f>
        <v/>
      </c>
      <c r="AC139" s="10" t="str">
        <f t="shared" si="35"/>
        <v/>
      </c>
      <c r="AD139" s="11"/>
      <c r="AE139" s="10" t="str">
        <f t="shared" si="36"/>
        <v/>
      </c>
      <c r="AF139" s="10" t="str">
        <f t="shared" si="37"/>
        <v/>
      </c>
      <c r="AJ139" t="str">
        <f t="shared" si="38"/>
        <v/>
      </c>
      <c r="AL139" s="10" t="str">
        <f t="shared" si="39"/>
        <v/>
      </c>
      <c r="AM139" s="11"/>
      <c r="AN139" s="10" t="str">
        <f t="shared" si="40"/>
        <v/>
      </c>
      <c r="AO139" s="10" t="str">
        <f t="shared" si="41"/>
        <v/>
      </c>
    </row>
    <row r="140" spans="4:41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f t="shared" si="34"/>
        <v>0</v>
      </c>
      <c r="P140" s="8" t="str">
        <f>IF(O140="","",VLOOKUP(O140,Lists!$E:$F,2,FALSE))</f>
        <v/>
      </c>
      <c r="AC140" s="10" t="str">
        <f t="shared" si="35"/>
        <v/>
      </c>
      <c r="AD140" s="11"/>
      <c r="AE140" s="10" t="str">
        <f t="shared" si="36"/>
        <v/>
      </c>
      <c r="AF140" s="10" t="str">
        <f t="shared" si="37"/>
        <v/>
      </c>
      <c r="AJ140" t="str">
        <f t="shared" si="38"/>
        <v/>
      </c>
      <c r="AL140" s="10" t="str">
        <f t="shared" si="39"/>
        <v/>
      </c>
      <c r="AM140" s="11"/>
      <c r="AN140" s="10" t="str">
        <f t="shared" si="40"/>
        <v/>
      </c>
      <c r="AO140" s="10" t="str">
        <f t="shared" si="41"/>
        <v/>
      </c>
    </row>
    <row r="141" spans="4:41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f t="shared" si="34"/>
        <v>0</v>
      </c>
      <c r="P141" s="8" t="str">
        <f>IF(O141="","",VLOOKUP(O141,Lists!$E:$F,2,FALSE))</f>
        <v/>
      </c>
      <c r="AC141" s="10" t="str">
        <f t="shared" si="35"/>
        <v/>
      </c>
      <c r="AD141" s="11"/>
      <c r="AE141" s="10" t="str">
        <f t="shared" si="36"/>
        <v/>
      </c>
      <c r="AF141" s="10" t="str">
        <f t="shared" si="37"/>
        <v/>
      </c>
      <c r="AJ141" t="str">
        <f t="shared" si="38"/>
        <v/>
      </c>
      <c r="AL141" s="10" t="str">
        <f t="shared" si="39"/>
        <v/>
      </c>
      <c r="AM141" s="11"/>
      <c r="AN141" s="10" t="str">
        <f t="shared" si="40"/>
        <v/>
      </c>
      <c r="AO141" s="10" t="str">
        <f t="shared" si="41"/>
        <v/>
      </c>
    </row>
    <row r="142" spans="4:41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f t="shared" si="34"/>
        <v>0</v>
      </c>
      <c r="P142" s="8" t="str">
        <f>IF(O142="","",VLOOKUP(O142,Lists!$E:$F,2,FALSE))</f>
        <v/>
      </c>
      <c r="AC142" s="10" t="str">
        <f t="shared" si="35"/>
        <v/>
      </c>
      <c r="AD142" s="11"/>
      <c r="AE142" s="10" t="str">
        <f t="shared" si="36"/>
        <v/>
      </c>
      <c r="AF142" s="10" t="str">
        <f t="shared" si="37"/>
        <v/>
      </c>
      <c r="AJ142" t="str">
        <f t="shared" si="38"/>
        <v/>
      </c>
      <c r="AL142" s="10" t="str">
        <f t="shared" si="39"/>
        <v/>
      </c>
      <c r="AM142" s="11"/>
      <c r="AN142" s="10" t="str">
        <f t="shared" si="40"/>
        <v/>
      </c>
      <c r="AO142" s="10" t="str">
        <f t="shared" si="41"/>
        <v/>
      </c>
    </row>
    <row r="143" spans="4:41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f t="shared" si="34"/>
        <v>0</v>
      </c>
      <c r="P143" s="8" t="str">
        <f>IF(O143="","",VLOOKUP(O143,Lists!$E:$F,2,FALSE))</f>
        <v/>
      </c>
      <c r="AC143" s="10" t="str">
        <f t="shared" si="35"/>
        <v/>
      </c>
      <c r="AD143" s="11"/>
      <c r="AE143" s="10" t="str">
        <f t="shared" si="36"/>
        <v/>
      </c>
      <c r="AF143" s="10" t="str">
        <f t="shared" si="37"/>
        <v/>
      </c>
      <c r="AJ143" t="str">
        <f t="shared" si="38"/>
        <v/>
      </c>
      <c r="AL143" s="10" t="str">
        <f t="shared" si="39"/>
        <v/>
      </c>
      <c r="AM143" s="11"/>
      <c r="AN143" s="10" t="str">
        <f t="shared" si="40"/>
        <v/>
      </c>
      <c r="AO143" s="10" t="str">
        <f t="shared" si="41"/>
        <v/>
      </c>
    </row>
    <row r="144" spans="4:41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f t="shared" si="34"/>
        <v>0</v>
      </c>
      <c r="P144" s="8" t="str">
        <f>IF(O144="","",VLOOKUP(O144,Lists!$E:$F,2,FALSE))</f>
        <v/>
      </c>
      <c r="AC144" s="10" t="str">
        <f t="shared" si="35"/>
        <v/>
      </c>
      <c r="AD144" s="11"/>
      <c r="AE144" s="10" t="str">
        <f t="shared" si="36"/>
        <v/>
      </c>
      <c r="AF144" s="10" t="str">
        <f t="shared" si="37"/>
        <v/>
      </c>
      <c r="AJ144" t="str">
        <f t="shared" si="38"/>
        <v/>
      </c>
      <c r="AL144" s="10" t="str">
        <f t="shared" si="39"/>
        <v/>
      </c>
      <c r="AM144" s="11"/>
      <c r="AN144" s="10" t="str">
        <f t="shared" si="40"/>
        <v/>
      </c>
      <c r="AO144" s="10" t="str">
        <f t="shared" si="41"/>
        <v/>
      </c>
    </row>
    <row r="145" spans="4:41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f t="shared" si="34"/>
        <v>0</v>
      </c>
      <c r="P145" s="8" t="str">
        <f>IF(O145="","",VLOOKUP(O145,Lists!$E:$F,2,FALSE))</f>
        <v/>
      </c>
      <c r="AC145" s="10" t="str">
        <f t="shared" si="35"/>
        <v/>
      </c>
      <c r="AD145" s="11"/>
      <c r="AE145" s="10" t="str">
        <f t="shared" si="36"/>
        <v/>
      </c>
      <c r="AF145" s="10" t="str">
        <f t="shared" si="37"/>
        <v/>
      </c>
      <c r="AJ145" t="str">
        <f t="shared" si="38"/>
        <v/>
      </c>
      <c r="AL145" s="10" t="str">
        <f t="shared" si="39"/>
        <v/>
      </c>
      <c r="AM145" s="11"/>
      <c r="AN145" s="10" t="str">
        <f t="shared" si="40"/>
        <v/>
      </c>
      <c r="AO145" s="10" t="str">
        <f t="shared" si="41"/>
        <v/>
      </c>
    </row>
    <row r="146" spans="4:41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f t="shared" si="34"/>
        <v>0</v>
      </c>
      <c r="P146" s="8" t="str">
        <f>IF(O146="","",VLOOKUP(O146,Lists!$E:$F,2,FALSE))</f>
        <v/>
      </c>
      <c r="AC146" s="10" t="str">
        <f t="shared" si="35"/>
        <v/>
      </c>
      <c r="AD146" s="11"/>
      <c r="AE146" s="10" t="str">
        <f t="shared" si="36"/>
        <v/>
      </c>
      <c r="AF146" s="10" t="str">
        <f t="shared" si="37"/>
        <v/>
      </c>
      <c r="AJ146" t="str">
        <f t="shared" si="38"/>
        <v/>
      </c>
      <c r="AL146" s="10" t="str">
        <f t="shared" si="39"/>
        <v/>
      </c>
      <c r="AM146" s="11"/>
      <c r="AN146" s="10" t="str">
        <f t="shared" si="40"/>
        <v/>
      </c>
      <c r="AO146" s="10" t="str">
        <f t="shared" si="41"/>
        <v/>
      </c>
    </row>
    <row r="147" spans="4:41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f t="shared" si="34"/>
        <v>0</v>
      </c>
      <c r="P147" s="8" t="str">
        <f>IF(O147="","",VLOOKUP(O147,Lists!$E:$F,2,FALSE))</f>
        <v/>
      </c>
      <c r="AC147" s="10" t="str">
        <f t="shared" si="35"/>
        <v/>
      </c>
      <c r="AD147" s="11"/>
      <c r="AE147" s="10" t="str">
        <f t="shared" si="36"/>
        <v/>
      </c>
      <c r="AF147" s="10" t="str">
        <f t="shared" si="37"/>
        <v/>
      </c>
      <c r="AJ147" t="str">
        <f t="shared" si="38"/>
        <v/>
      </c>
      <c r="AL147" s="10" t="str">
        <f t="shared" si="39"/>
        <v/>
      </c>
      <c r="AM147" s="11"/>
      <c r="AN147" s="10" t="str">
        <f t="shared" si="40"/>
        <v/>
      </c>
      <c r="AO147" s="10" t="str">
        <f t="shared" si="41"/>
        <v/>
      </c>
    </row>
    <row r="148" spans="4:41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f t="shared" si="34"/>
        <v>0</v>
      </c>
      <c r="P148" s="8" t="str">
        <f>IF(O148="","",VLOOKUP(O148,Lists!$E:$F,2,FALSE))</f>
        <v/>
      </c>
      <c r="AC148" s="10" t="str">
        <f t="shared" si="35"/>
        <v/>
      </c>
      <c r="AD148" s="11"/>
      <c r="AE148" s="10" t="str">
        <f t="shared" si="36"/>
        <v/>
      </c>
      <c r="AF148" s="10" t="str">
        <f t="shared" si="37"/>
        <v/>
      </c>
      <c r="AJ148" t="str">
        <f t="shared" si="38"/>
        <v/>
      </c>
      <c r="AL148" s="10" t="str">
        <f t="shared" si="39"/>
        <v/>
      </c>
      <c r="AM148" s="11"/>
      <c r="AN148" s="10" t="str">
        <f t="shared" si="40"/>
        <v/>
      </c>
      <c r="AO148" s="10" t="str">
        <f t="shared" si="41"/>
        <v/>
      </c>
    </row>
    <row r="149" spans="4:41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f t="shared" si="34"/>
        <v>0</v>
      </c>
      <c r="P149" s="8" t="str">
        <f>IF(O149="","",VLOOKUP(O149,Lists!$E:$F,2,FALSE))</f>
        <v/>
      </c>
      <c r="AC149" s="10" t="str">
        <f t="shared" si="35"/>
        <v/>
      </c>
      <c r="AD149" s="11"/>
      <c r="AE149" s="10" t="str">
        <f t="shared" si="36"/>
        <v/>
      </c>
      <c r="AF149" s="10" t="str">
        <f t="shared" si="37"/>
        <v/>
      </c>
      <c r="AJ149" t="str">
        <f t="shared" si="38"/>
        <v/>
      </c>
      <c r="AL149" s="10" t="str">
        <f t="shared" si="39"/>
        <v/>
      </c>
      <c r="AM149" s="11"/>
      <c r="AN149" s="10" t="str">
        <f t="shared" si="40"/>
        <v/>
      </c>
      <c r="AO149" s="10" t="str">
        <f t="shared" si="41"/>
        <v/>
      </c>
    </row>
    <row r="150" spans="4:41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f t="shared" si="34"/>
        <v>0</v>
      </c>
      <c r="P150" s="8" t="str">
        <f>IF(O150="","",VLOOKUP(O150,Lists!$E:$F,2,FALSE))</f>
        <v/>
      </c>
      <c r="AC150" s="10" t="str">
        <f t="shared" si="35"/>
        <v/>
      </c>
      <c r="AD150" s="11"/>
      <c r="AE150" s="10" t="str">
        <f t="shared" si="36"/>
        <v/>
      </c>
      <c r="AF150" s="10" t="str">
        <f t="shared" si="37"/>
        <v/>
      </c>
      <c r="AJ150" t="str">
        <f t="shared" si="38"/>
        <v/>
      </c>
      <c r="AL150" s="10" t="str">
        <f t="shared" si="39"/>
        <v/>
      </c>
      <c r="AM150" s="11"/>
      <c r="AN150" s="10" t="str">
        <f t="shared" si="40"/>
        <v/>
      </c>
      <c r="AO150" s="10" t="str">
        <f t="shared" si="41"/>
        <v/>
      </c>
    </row>
    <row r="151" spans="4:41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f t="shared" si="34"/>
        <v>0</v>
      </c>
      <c r="P151" s="8" t="str">
        <f>IF(O151="","",VLOOKUP(O151,Lists!$E:$F,2,FALSE))</f>
        <v/>
      </c>
      <c r="AC151" s="10" t="str">
        <f t="shared" si="35"/>
        <v/>
      </c>
      <c r="AD151" s="11"/>
      <c r="AE151" s="10" t="str">
        <f t="shared" si="36"/>
        <v/>
      </c>
      <c r="AF151" s="10" t="str">
        <f t="shared" si="37"/>
        <v/>
      </c>
      <c r="AJ151" t="str">
        <f t="shared" si="38"/>
        <v/>
      </c>
      <c r="AL151" s="10" t="str">
        <f t="shared" si="39"/>
        <v/>
      </c>
      <c r="AM151" s="11"/>
      <c r="AN151" s="10" t="str">
        <f t="shared" si="40"/>
        <v/>
      </c>
      <c r="AO151" s="10" t="str">
        <f t="shared" si="41"/>
        <v/>
      </c>
    </row>
    <row r="152" spans="4:41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f t="shared" si="34"/>
        <v>0</v>
      </c>
      <c r="P152" s="8" t="str">
        <f>IF(O152="","",VLOOKUP(O152,Lists!$E:$F,2,FALSE))</f>
        <v/>
      </c>
      <c r="AC152" s="10" t="str">
        <f t="shared" si="35"/>
        <v/>
      </c>
      <c r="AD152" s="11"/>
      <c r="AE152" s="10" t="str">
        <f t="shared" si="36"/>
        <v/>
      </c>
      <c r="AF152" s="10" t="str">
        <f t="shared" si="37"/>
        <v/>
      </c>
      <c r="AJ152" t="str">
        <f t="shared" si="38"/>
        <v/>
      </c>
      <c r="AL152" s="10" t="str">
        <f t="shared" si="39"/>
        <v/>
      </c>
      <c r="AM152" s="11"/>
      <c r="AN152" s="10" t="str">
        <f t="shared" si="40"/>
        <v/>
      </c>
      <c r="AO152" s="10" t="str">
        <f t="shared" si="41"/>
        <v/>
      </c>
    </row>
    <row r="153" spans="4:41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f t="shared" si="34"/>
        <v>0</v>
      </c>
      <c r="P153" s="8" t="str">
        <f>IF(O153="","",VLOOKUP(O153,Lists!$E:$F,2,FALSE))</f>
        <v/>
      </c>
      <c r="AC153" s="10" t="str">
        <f t="shared" si="35"/>
        <v/>
      </c>
      <c r="AD153" s="11"/>
      <c r="AE153" s="10" t="str">
        <f t="shared" si="36"/>
        <v/>
      </c>
      <c r="AF153" s="10" t="str">
        <f t="shared" si="37"/>
        <v/>
      </c>
      <c r="AJ153" t="str">
        <f t="shared" si="38"/>
        <v/>
      </c>
      <c r="AL153" s="10" t="str">
        <f t="shared" si="39"/>
        <v/>
      </c>
      <c r="AM153" s="11"/>
      <c r="AN153" s="10" t="str">
        <f t="shared" si="40"/>
        <v/>
      </c>
      <c r="AO153" s="10" t="str">
        <f t="shared" si="41"/>
        <v/>
      </c>
    </row>
    <row r="154" spans="4:41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f t="shared" si="34"/>
        <v>0</v>
      </c>
      <c r="P154" s="8" t="str">
        <f>IF(O154="","",VLOOKUP(O154,Lists!$E:$F,2,FALSE))</f>
        <v/>
      </c>
      <c r="AC154" s="10" t="str">
        <f t="shared" si="35"/>
        <v/>
      </c>
      <c r="AD154" s="11"/>
      <c r="AE154" s="10" t="str">
        <f t="shared" si="36"/>
        <v/>
      </c>
      <c r="AF154" s="10" t="str">
        <f t="shared" si="37"/>
        <v/>
      </c>
      <c r="AJ154" t="str">
        <f t="shared" si="38"/>
        <v/>
      </c>
      <c r="AL154" s="10" t="str">
        <f t="shared" si="39"/>
        <v/>
      </c>
      <c r="AM154" s="11"/>
      <c r="AN154" s="10" t="str">
        <f t="shared" si="40"/>
        <v/>
      </c>
      <c r="AO154" s="10" t="str">
        <f t="shared" si="41"/>
        <v/>
      </c>
    </row>
    <row r="155" spans="4:41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f t="shared" si="34"/>
        <v>0</v>
      </c>
      <c r="P155" s="8" t="str">
        <f>IF(O155="","",VLOOKUP(O155,Lists!$E:$F,2,FALSE))</f>
        <v/>
      </c>
      <c r="AC155" s="10" t="str">
        <f t="shared" si="35"/>
        <v/>
      </c>
      <c r="AD155" s="11"/>
      <c r="AE155" s="10" t="str">
        <f t="shared" si="36"/>
        <v/>
      </c>
      <c r="AF155" s="10" t="str">
        <f t="shared" si="37"/>
        <v/>
      </c>
      <c r="AJ155" t="str">
        <f t="shared" si="38"/>
        <v/>
      </c>
      <c r="AL155" s="10" t="str">
        <f t="shared" si="39"/>
        <v/>
      </c>
      <c r="AM155" s="11"/>
      <c r="AN155" s="10" t="str">
        <f t="shared" si="40"/>
        <v/>
      </c>
      <c r="AO155" s="10" t="str">
        <f t="shared" si="41"/>
        <v/>
      </c>
    </row>
    <row r="156" spans="4:41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f t="shared" si="34"/>
        <v>0</v>
      </c>
      <c r="P156" s="8" t="str">
        <f>IF(O156="","",VLOOKUP(O156,Lists!$E:$F,2,FALSE))</f>
        <v/>
      </c>
      <c r="AC156" s="10" t="str">
        <f t="shared" si="35"/>
        <v/>
      </c>
      <c r="AD156" s="11"/>
      <c r="AE156" s="10" t="str">
        <f t="shared" si="36"/>
        <v/>
      </c>
      <c r="AF156" s="10" t="str">
        <f t="shared" si="37"/>
        <v/>
      </c>
      <c r="AJ156" t="str">
        <f t="shared" si="38"/>
        <v/>
      </c>
      <c r="AL156" s="10" t="str">
        <f t="shared" si="39"/>
        <v/>
      </c>
      <c r="AM156" s="11"/>
      <c r="AN156" s="10" t="str">
        <f t="shared" si="40"/>
        <v/>
      </c>
      <c r="AO156" s="10" t="str">
        <f t="shared" si="41"/>
        <v/>
      </c>
    </row>
    <row r="157" spans="4:41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f t="shared" si="34"/>
        <v>0</v>
      </c>
      <c r="P157" s="8" t="str">
        <f>IF(O157="","",VLOOKUP(O157,Lists!$E:$F,2,FALSE))</f>
        <v/>
      </c>
      <c r="AC157" s="10" t="str">
        <f t="shared" si="35"/>
        <v/>
      </c>
      <c r="AD157" s="11"/>
      <c r="AE157" s="10" t="str">
        <f t="shared" si="36"/>
        <v/>
      </c>
      <c r="AF157" s="10" t="str">
        <f t="shared" si="37"/>
        <v/>
      </c>
      <c r="AJ157" t="str">
        <f t="shared" si="38"/>
        <v/>
      </c>
      <c r="AL157" s="10" t="str">
        <f t="shared" si="39"/>
        <v/>
      </c>
      <c r="AM157" s="11"/>
      <c r="AN157" s="10" t="str">
        <f t="shared" si="40"/>
        <v/>
      </c>
      <c r="AO157" s="10" t="str">
        <f t="shared" si="41"/>
        <v/>
      </c>
    </row>
    <row r="158" spans="4:41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f t="shared" si="34"/>
        <v>0</v>
      </c>
      <c r="P158" s="8" t="str">
        <f>IF(O158="","",VLOOKUP(O158,Lists!$E:$F,2,FALSE))</f>
        <v/>
      </c>
      <c r="AC158" s="10" t="str">
        <f t="shared" si="35"/>
        <v/>
      </c>
      <c r="AD158" s="11"/>
      <c r="AE158" s="10" t="str">
        <f t="shared" si="36"/>
        <v/>
      </c>
      <c r="AF158" s="10" t="str">
        <f t="shared" si="37"/>
        <v/>
      </c>
      <c r="AJ158" t="str">
        <f t="shared" si="38"/>
        <v/>
      </c>
      <c r="AL158" s="10" t="str">
        <f t="shared" si="39"/>
        <v/>
      </c>
      <c r="AM158" s="11"/>
      <c r="AN158" s="10" t="str">
        <f t="shared" si="40"/>
        <v/>
      </c>
      <c r="AO158" s="10" t="str">
        <f t="shared" si="41"/>
        <v/>
      </c>
    </row>
    <row r="159" spans="4:41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f t="shared" si="34"/>
        <v>0</v>
      </c>
      <c r="P159" s="8" t="str">
        <f>IF(O159="","",VLOOKUP(O159,Lists!$E:$F,2,FALSE))</f>
        <v/>
      </c>
      <c r="AC159" s="10" t="str">
        <f t="shared" si="35"/>
        <v/>
      </c>
      <c r="AD159" s="11"/>
      <c r="AE159" s="10" t="str">
        <f t="shared" si="36"/>
        <v/>
      </c>
      <c r="AF159" s="10" t="str">
        <f t="shared" si="37"/>
        <v/>
      </c>
      <c r="AJ159" t="str">
        <f t="shared" si="38"/>
        <v/>
      </c>
      <c r="AL159" s="10" t="str">
        <f t="shared" si="39"/>
        <v/>
      </c>
      <c r="AM159" s="11"/>
      <c r="AN159" s="10" t="str">
        <f t="shared" si="40"/>
        <v/>
      </c>
      <c r="AO159" s="10" t="str">
        <f t="shared" si="41"/>
        <v/>
      </c>
    </row>
    <row r="160" spans="4:41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f t="shared" si="34"/>
        <v>0</v>
      </c>
      <c r="P160" s="8" t="str">
        <f>IF(O160="","",VLOOKUP(O160,Lists!$E:$F,2,FALSE))</f>
        <v/>
      </c>
      <c r="AC160" s="10" t="str">
        <f t="shared" si="35"/>
        <v/>
      </c>
      <c r="AD160" s="11"/>
      <c r="AE160" s="10" t="str">
        <f t="shared" si="36"/>
        <v/>
      </c>
      <c r="AF160" s="10" t="str">
        <f t="shared" si="37"/>
        <v/>
      </c>
      <c r="AJ160" t="str">
        <f t="shared" si="38"/>
        <v/>
      </c>
      <c r="AL160" s="10" t="str">
        <f t="shared" si="39"/>
        <v/>
      </c>
      <c r="AM160" s="11"/>
      <c r="AN160" s="10" t="str">
        <f t="shared" si="40"/>
        <v/>
      </c>
      <c r="AO160" s="10" t="str">
        <f t="shared" si="41"/>
        <v/>
      </c>
    </row>
    <row r="161" spans="4:41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f t="shared" si="34"/>
        <v>0</v>
      </c>
      <c r="P161" s="8" t="str">
        <f>IF(O161="","",VLOOKUP(O161,Lists!$E:$F,2,FALSE))</f>
        <v/>
      </c>
      <c r="AC161" s="10" t="str">
        <f t="shared" si="35"/>
        <v/>
      </c>
      <c r="AD161" s="11"/>
      <c r="AE161" s="10" t="str">
        <f t="shared" si="36"/>
        <v/>
      </c>
      <c r="AF161" s="10" t="str">
        <f t="shared" si="37"/>
        <v/>
      </c>
      <c r="AJ161" t="str">
        <f t="shared" si="38"/>
        <v/>
      </c>
      <c r="AL161" s="10" t="str">
        <f t="shared" si="39"/>
        <v/>
      </c>
      <c r="AM161" s="11"/>
      <c r="AN161" s="10" t="str">
        <f t="shared" si="40"/>
        <v/>
      </c>
      <c r="AO161" s="10" t="str">
        <f t="shared" si="41"/>
        <v/>
      </c>
    </row>
    <row r="162" spans="4:41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f t="shared" ref="M162:M193" si="42">IF(K162="Eigen Beheer",0,IF(AND(ISNUMBER(L162),I162&lt;&gt;"",H162&lt;&gt;""),(L162*12/365)*(I162-H162),0))</f>
        <v>0</v>
      </c>
      <c r="P162" s="8" t="str">
        <f>IF(O162="","",VLOOKUP(O162,Lists!$E:$F,2,FALSE))</f>
        <v/>
      </c>
      <c r="AC162" s="10" t="str">
        <f t="shared" ref="AC162:AC193" si="43">IF(AND(AA162&lt;&gt;"",AB162&lt;&gt;""),AA162*AB162,"")</f>
        <v/>
      </c>
      <c r="AD162" s="11"/>
      <c r="AE162" s="10" t="str">
        <f t="shared" ref="AE162:AE193" si="44">IF(AND(AC162&lt;&gt;"",AD162&lt;&gt;""),AC162*AD162,"")</f>
        <v/>
      </c>
      <c r="AF162" s="10" t="str">
        <f t="shared" ref="AF162:AF193" si="45">IF(AND(AC162&lt;&gt;"",AE162&lt;&gt;""),AC162+AE162,"")</f>
        <v/>
      </c>
      <c r="AJ162" t="str">
        <f t="shared" ref="AJ162:AJ193" si="46"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L162" s="10" t="str">
        <f t="shared" ref="AL162:AL193" si="47">IF(AND(AJ162&lt;&gt;"",AK162&lt;&gt;""),AJ162*AK162,"")</f>
        <v/>
      </c>
      <c r="AM162" s="11"/>
      <c r="AN162" s="10" t="str">
        <f t="shared" ref="AN162:AN193" si="48">IF(AND(AL162&lt;&gt;"",AM162&lt;&gt;""),AL162*AM162,"")</f>
        <v/>
      </c>
      <c r="AO162" s="10" t="str">
        <f t="shared" ref="AO162:AO193" si="49">IF(AND(AL162&lt;&gt;"",AN162&lt;&gt;""),AL162+AN162,"")</f>
        <v/>
      </c>
    </row>
    <row r="163" spans="4:41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f t="shared" si="42"/>
        <v>0</v>
      </c>
      <c r="P163" s="8" t="str">
        <f>IF(O163="","",VLOOKUP(O163,Lists!$E:$F,2,FALSE))</f>
        <v/>
      </c>
      <c r="AC163" s="10" t="str">
        <f t="shared" si="43"/>
        <v/>
      </c>
      <c r="AD163" s="11"/>
      <c r="AE163" s="10" t="str">
        <f t="shared" si="44"/>
        <v/>
      </c>
      <c r="AF163" s="10" t="str">
        <f t="shared" si="45"/>
        <v/>
      </c>
      <c r="AJ163" t="str">
        <f t="shared" si="46"/>
        <v/>
      </c>
      <c r="AL163" s="10" t="str">
        <f t="shared" si="47"/>
        <v/>
      </c>
      <c r="AM163" s="11"/>
      <c r="AN163" s="10" t="str">
        <f t="shared" si="48"/>
        <v/>
      </c>
      <c r="AO163" s="10" t="str">
        <f t="shared" si="49"/>
        <v/>
      </c>
    </row>
    <row r="164" spans="4:41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f t="shared" si="42"/>
        <v>0</v>
      </c>
      <c r="P164" s="8" t="str">
        <f>IF(O164="","",VLOOKUP(O164,Lists!$E:$F,2,FALSE))</f>
        <v/>
      </c>
      <c r="AC164" s="10" t="str">
        <f t="shared" si="43"/>
        <v/>
      </c>
      <c r="AD164" s="11"/>
      <c r="AE164" s="10" t="str">
        <f t="shared" si="44"/>
        <v/>
      </c>
      <c r="AF164" s="10" t="str">
        <f t="shared" si="45"/>
        <v/>
      </c>
      <c r="AJ164" t="str">
        <f t="shared" si="46"/>
        <v/>
      </c>
      <c r="AL164" s="10" t="str">
        <f t="shared" si="47"/>
        <v/>
      </c>
      <c r="AM164" s="11"/>
      <c r="AN164" s="10" t="str">
        <f t="shared" si="48"/>
        <v/>
      </c>
      <c r="AO164" s="10" t="str">
        <f t="shared" si="49"/>
        <v/>
      </c>
    </row>
    <row r="165" spans="4:41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f t="shared" si="42"/>
        <v>0</v>
      </c>
      <c r="P165" s="8" t="str">
        <f>IF(O165="","",VLOOKUP(O165,Lists!$E:$F,2,FALSE))</f>
        <v/>
      </c>
      <c r="AC165" s="10" t="str">
        <f t="shared" si="43"/>
        <v/>
      </c>
      <c r="AD165" s="11"/>
      <c r="AE165" s="10" t="str">
        <f t="shared" si="44"/>
        <v/>
      </c>
      <c r="AF165" s="10" t="str">
        <f t="shared" si="45"/>
        <v/>
      </c>
      <c r="AJ165" t="str">
        <f t="shared" si="46"/>
        <v/>
      </c>
      <c r="AL165" s="10" t="str">
        <f t="shared" si="47"/>
        <v/>
      </c>
      <c r="AM165" s="11"/>
      <c r="AN165" s="10" t="str">
        <f t="shared" si="48"/>
        <v/>
      </c>
      <c r="AO165" s="10" t="str">
        <f t="shared" si="49"/>
        <v/>
      </c>
    </row>
    <row r="166" spans="4:41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f t="shared" si="42"/>
        <v>0</v>
      </c>
      <c r="P166" s="8" t="str">
        <f>IF(O166="","",VLOOKUP(O166,Lists!$E:$F,2,FALSE))</f>
        <v/>
      </c>
      <c r="AC166" s="10" t="str">
        <f t="shared" si="43"/>
        <v/>
      </c>
      <c r="AD166" s="11"/>
      <c r="AE166" s="10" t="str">
        <f t="shared" si="44"/>
        <v/>
      </c>
      <c r="AF166" s="10" t="str">
        <f t="shared" si="45"/>
        <v/>
      </c>
      <c r="AJ166" t="str">
        <f t="shared" si="46"/>
        <v/>
      </c>
      <c r="AL166" s="10" t="str">
        <f t="shared" si="47"/>
        <v/>
      </c>
      <c r="AM166" s="11"/>
      <c r="AN166" s="10" t="str">
        <f t="shared" si="48"/>
        <v/>
      </c>
      <c r="AO166" s="10" t="str">
        <f t="shared" si="49"/>
        <v/>
      </c>
    </row>
    <row r="167" spans="4:41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f t="shared" si="42"/>
        <v>0</v>
      </c>
      <c r="P167" s="8" t="str">
        <f>IF(O167="","",VLOOKUP(O167,Lists!$E:$F,2,FALSE))</f>
        <v/>
      </c>
      <c r="AC167" s="10" t="str">
        <f t="shared" si="43"/>
        <v/>
      </c>
      <c r="AD167" s="11"/>
      <c r="AE167" s="10" t="str">
        <f t="shared" si="44"/>
        <v/>
      </c>
      <c r="AF167" s="10" t="str">
        <f t="shared" si="45"/>
        <v/>
      </c>
      <c r="AJ167" t="str">
        <f t="shared" si="46"/>
        <v/>
      </c>
      <c r="AL167" s="10" t="str">
        <f t="shared" si="47"/>
        <v/>
      </c>
      <c r="AM167" s="11"/>
      <c r="AN167" s="10" t="str">
        <f t="shared" si="48"/>
        <v/>
      </c>
      <c r="AO167" s="10" t="str">
        <f t="shared" si="49"/>
        <v/>
      </c>
    </row>
    <row r="168" spans="4:41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f t="shared" si="42"/>
        <v>0</v>
      </c>
      <c r="P168" s="8" t="str">
        <f>IF(O168="","",VLOOKUP(O168,Lists!$E:$F,2,FALSE))</f>
        <v/>
      </c>
      <c r="AC168" s="10" t="str">
        <f t="shared" si="43"/>
        <v/>
      </c>
      <c r="AD168" s="11"/>
      <c r="AE168" s="10" t="str">
        <f t="shared" si="44"/>
        <v/>
      </c>
      <c r="AF168" s="10" t="str">
        <f t="shared" si="45"/>
        <v/>
      </c>
      <c r="AJ168" t="str">
        <f t="shared" si="46"/>
        <v/>
      </c>
      <c r="AL168" s="10" t="str">
        <f t="shared" si="47"/>
        <v/>
      </c>
      <c r="AM168" s="11"/>
      <c r="AN168" s="10" t="str">
        <f t="shared" si="48"/>
        <v/>
      </c>
      <c r="AO168" s="10" t="str">
        <f t="shared" si="49"/>
        <v/>
      </c>
    </row>
    <row r="169" spans="4:41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f t="shared" si="42"/>
        <v>0</v>
      </c>
      <c r="P169" s="8" t="str">
        <f>IF(O169="","",VLOOKUP(O169,Lists!$E:$F,2,FALSE))</f>
        <v/>
      </c>
      <c r="AC169" s="10" t="str">
        <f t="shared" si="43"/>
        <v/>
      </c>
      <c r="AD169" s="11"/>
      <c r="AE169" s="10" t="str">
        <f t="shared" si="44"/>
        <v/>
      </c>
      <c r="AF169" s="10" t="str">
        <f t="shared" si="45"/>
        <v/>
      </c>
      <c r="AJ169" t="str">
        <f t="shared" si="46"/>
        <v/>
      </c>
      <c r="AL169" s="10" t="str">
        <f t="shared" si="47"/>
        <v/>
      </c>
      <c r="AM169" s="11"/>
      <c r="AN169" s="10" t="str">
        <f t="shared" si="48"/>
        <v/>
      </c>
      <c r="AO169" s="10" t="str">
        <f t="shared" si="49"/>
        <v/>
      </c>
    </row>
    <row r="170" spans="4:41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f t="shared" si="42"/>
        <v>0</v>
      </c>
      <c r="P170" s="8" t="str">
        <f>IF(O170="","",VLOOKUP(O170,Lists!$E:$F,2,FALSE))</f>
        <v/>
      </c>
      <c r="AC170" s="10" t="str">
        <f t="shared" si="43"/>
        <v/>
      </c>
      <c r="AD170" s="11"/>
      <c r="AE170" s="10" t="str">
        <f t="shared" si="44"/>
        <v/>
      </c>
      <c r="AF170" s="10" t="str">
        <f t="shared" si="45"/>
        <v/>
      </c>
      <c r="AJ170" t="str">
        <f t="shared" si="46"/>
        <v/>
      </c>
      <c r="AL170" s="10" t="str">
        <f t="shared" si="47"/>
        <v/>
      </c>
      <c r="AM170" s="11"/>
      <c r="AN170" s="10" t="str">
        <f t="shared" si="48"/>
        <v/>
      </c>
      <c r="AO170" s="10" t="str">
        <f t="shared" si="49"/>
        <v/>
      </c>
    </row>
    <row r="171" spans="4:41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f t="shared" si="42"/>
        <v>0</v>
      </c>
      <c r="P171" s="8" t="str">
        <f>IF(O171="","",VLOOKUP(O171,Lists!$E:$F,2,FALSE))</f>
        <v/>
      </c>
      <c r="AC171" s="10" t="str">
        <f t="shared" si="43"/>
        <v/>
      </c>
      <c r="AD171" s="11"/>
      <c r="AE171" s="10" t="str">
        <f t="shared" si="44"/>
        <v/>
      </c>
      <c r="AF171" s="10" t="str">
        <f t="shared" si="45"/>
        <v/>
      </c>
      <c r="AJ171" t="str">
        <f t="shared" si="46"/>
        <v/>
      </c>
      <c r="AL171" s="10" t="str">
        <f t="shared" si="47"/>
        <v/>
      </c>
      <c r="AM171" s="11"/>
      <c r="AN171" s="10" t="str">
        <f t="shared" si="48"/>
        <v/>
      </c>
      <c r="AO171" s="10" t="str">
        <f t="shared" si="49"/>
        <v/>
      </c>
    </row>
    <row r="172" spans="4:41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f t="shared" si="42"/>
        <v>0</v>
      </c>
      <c r="P172" s="8" t="str">
        <f>IF(O172="","",VLOOKUP(O172,Lists!$E:$F,2,FALSE))</f>
        <v/>
      </c>
      <c r="AC172" s="10" t="str">
        <f t="shared" si="43"/>
        <v/>
      </c>
      <c r="AD172" s="11"/>
      <c r="AE172" s="10" t="str">
        <f t="shared" si="44"/>
        <v/>
      </c>
      <c r="AF172" s="10" t="str">
        <f t="shared" si="45"/>
        <v/>
      </c>
      <c r="AJ172" t="str">
        <f t="shared" si="46"/>
        <v/>
      </c>
      <c r="AL172" s="10" t="str">
        <f t="shared" si="47"/>
        <v/>
      </c>
      <c r="AM172" s="11"/>
      <c r="AN172" s="10" t="str">
        <f t="shared" si="48"/>
        <v/>
      </c>
      <c r="AO172" s="10" t="str">
        <f t="shared" si="49"/>
        <v/>
      </c>
    </row>
    <row r="173" spans="4:41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f t="shared" si="42"/>
        <v>0</v>
      </c>
      <c r="P173" s="8" t="str">
        <f>IF(O173="","",VLOOKUP(O173,Lists!$E:$F,2,FALSE))</f>
        <v/>
      </c>
      <c r="AC173" s="10" t="str">
        <f t="shared" si="43"/>
        <v/>
      </c>
      <c r="AD173" s="11"/>
      <c r="AE173" s="10" t="str">
        <f t="shared" si="44"/>
        <v/>
      </c>
      <c r="AF173" s="10" t="str">
        <f t="shared" si="45"/>
        <v/>
      </c>
      <c r="AJ173" t="str">
        <f t="shared" si="46"/>
        <v/>
      </c>
      <c r="AL173" s="10" t="str">
        <f t="shared" si="47"/>
        <v/>
      </c>
      <c r="AM173" s="11"/>
      <c r="AN173" s="10" t="str">
        <f t="shared" si="48"/>
        <v/>
      </c>
      <c r="AO173" s="10" t="str">
        <f t="shared" si="49"/>
        <v/>
      </c>
    </row>
    <row r="174" spans="4:41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f t="shared" si="42"/>
        <v>0</v>
      </c>
      <c r="P174" s="8" t="str">
        <f>IF(O174="","",VLOOKUP(O174,Lists!$E:$F,2,FALSE))</f>
        <v/>
      </c>
      <c r="AC174" s="10" t="str">
        <f t="shared" si="43"/>
        <v/>
      </c>
      <c r="AD174" s="11"/>
      <c r="AE174" s="10" t="str">
        <f t="shared" si="44"/>
        <v/>
      </c>
      <c r="AF174" s="10" t="str">
        <f t="shared" si="45"/>
        <v/>
      </c>
      <c r="AJ174" t="str">
        <f t="shared" si="46"/>
        <v/>
      </c>
      <c r="AL174" s="10" t="str">
        <f t="shared" si="47"/>
        <v/>
      </c>
      <c r="AM174" s="11"/>
      <c r="AN174" s="10" t="str">
        <f t="shared" si="48"/>
        <v/>
      </c>
      <c r="AO174" s="10" t="str">
        <f t="shared" si="49"/>
        <v/>
      </c>
    </row>
    <row r="175" spans="4:41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f t="shared" si="42"/>
        <v>0</v>
      </c>
      <c r="P175" s="8" t="str">
        <f>IF(O175="","",VLOOKUP(O175,Lists!$E:$F,2,FALSE))</f>
        <v/>
      </c>
      <c r="AC175" s="10" t="str">
        <f t="shared" si="43"/>
        <v/>
      </c>
      <c r="AD175" s="11"/>
      <c r="AE175" s="10" t="str">
        <f t="shared" si="44"/>
        <v/>
      </c>
      <c r="AF175" s="10" t="str">
        <f t="shared" si="45"/>
        <v/>
      </c>
      <c r="AJ175" t="str">
        <f t="shared" si="46"/>
        <v/>
      </c>
      <c r="AL175" s="10" t="str">
        <f t="shared" si="47"/>
        <v/>
      </c>
      <c r="AM175" s="11"/>
      <c r="AN175" s="10" t="str">
        <f t="shared" si="48"/>
        <v/>
      </c>
      <c r="AO175" s="10" t="str">
        <f t="shared" si="49"/>
        <v/>
      </c>
    </row>
    <row r="176" spans="4:41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f t="shared" si="42"/>
        <v>0</v>
      </c>
      <c r="P176" s="8" t="str">
        <f>IF(O176="","",VLOOKUP(O176,Lists!$E:$F,2,FALSE))</f>
        <v/>
      </c>
      <c r="AC176" s="10" t="str">
        <f t="shared" si="43"/>
        <v/>
      </c>
      <c r="AD176" s="11"/>
      <c r="AE176" s="10" t="str">
        <f t="shared" si="44"/>
        <v/>
      </c>
      <c r="AF176" s="10" t="str">
        <f t="shared" si="45"/>
        <v/>
      </c>
      <c r="AJ176" t="str">
        <f t="shared" si="46"/>
        <v/>
      </c>
      <c r="AL176" s="10" t="str">
        <f t="shared" si="47"/>
        <v/>
      </c>
      <c r="AM176" s="11"/>
      <c r="AN176" s="10" t="str">
        <f t="shared" si="48"/>
        <v/>
      </c>
      <c r="AO176" s="10" t="str">
        <f t="shared" si="49"/>
        <v/>
      </c>
    </row>
    <row r="177" spans="4:41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f t="shared" si="42"/>
        <v>0</v>
      </c>
      <c r="P177" s="8" t="str">
        <f>IF(O177="","",VLOOKUP(O177,Lists!$E:$F,2,FALSE))</f>
        <v/>
      </c>
      <c r="AC177" s="10" t="str">
        <f t="shared" si="43"/>
        <v/>
      </c>
      <c r="AD177" s="11"/>
      <c r="AE177" s="10" t="str">
        <f t="shared" si="44"/>
        <v/>
      </c>
      <c r="AF177" s="10" t="str">
        <f t="shared" si="45"/>
        <v/>
      </c>
      <c r="AJ177" t="str">
        <f t="shared" si="46"/>
        <v/>
      </c>
      <c r="AL177" s="10" t="str">
        <f t="shared" si="47"/>
        <v/>
      </c>
      <c r="AM177" s="11"/>
      <c r="AN177" s="10" t="str">
        <f t="shared" si="48"/>
        <v/>
      </c>
      <c r="AO177" s="10" t="str">
        <f t="shared" si="49"/>
        <v/>
      </c>
    </row>
    <row r="178" spans="4:41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f t="shared" si="42"/>
        <v>0</v>
      </c>
      <c r="P178" s="8" t="str">
        <f>IF(O178="","",VLOOKUP(O178,Lists!$E:$F,2,FALSE))</f>
        <v/>
      </c>
      <c r="AC178" s="10" t="str">
        <f t="shared" si="43"/>
        <v/>
      </c>
      <c r="AD178" s="11"/>
      <c r="AE178" s="10" t="str">
        <f t="shared" si="44"/>
        <v/>
      </c>
      <c r="AF178" s="10" t="str">
        <f t="shared" si="45"/>
        <v/>
      </c>
      <c r="AJ178" t="str">
        <f t="shared" si="46"/>
        <v/>
      </c>
      <c r="AL178" s="10" t="str">
        <f t="shared" si="47"/>
        <v/>
      </c>
      <c r="AM178" s="11"/>
      <c r="AN178" s="10" t="str">
        <f t="shared" si="48"/>
        <v/>
      </c>
      <c r="AO178" s="10" t="str">
        <f t="shared" si="49"/>
        <v/>
      </c>
    </row>
    <row r="179" spans="4:41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f t="shared" si="42"/>
        <v>0</v>
      </c>
      <c r="P179" s="8" t="str">
        <f>IF(O179="","",VLOOKUP(O179,Lists!$E:$F,2,FALSE))</f>
        <v/>
      </c>
      <c r="AC179" s="10" t="str">
        <f t="shared" si="43"/>
        <v/>
      </c>
      <c r="AD179" s="11"/>
      <c r="AE179" s="10" t="str">
        <f t="shared" si="44"/>
        <v/>
      </c>
      <c r="AF179" s="10" t="str">
        <f t="shared" si="45"/>
        <v/>
      </c>
      <c r="AJ179" t="str">
        <f t="shared" si="46"/>
        <v/>
      </c>
      <c r="AL179" s="10" t="str">
        <f t="shared" si="47"/>
        <v/>
      </c>
      <c r="AM179" s="11"/>
      <c r="AN179" s="10" t="str">
        <f t="shared" si="48"/>
        <v/>
      </c>
      <c r="AO179" s="10" t="str">
        <f t="shared" si="49"/>
        <v/>
      </c>
    </row>
    <row r="180" spans="4:41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f t="shared" si="42"/>
        <v>0</v>
      </c>
      <c r="P180" s="8" t="str">
        <f>IF(O180="","",VLOOKUP(O180,Lists!$E:$F,2,FALSE))</f>
        <v/>
      </c>
      <c r="AC180" s="10" t="str">
        <f t="shared" si="43"/>
        <v/>
      </c>
      <c r="AD180" s="11"/>
      <c r="AE180" s="10" t="str">
        <f t="shared" si="44"/>
        <v/>
      </c>
      <c r="AF180" s="10" t="str">
        <f t="shared" si="45"/>
        <v/>
      </c>
      <c r="AJ180" t="str">
        <f t="shared" si="46"/>
        <v/>
      </c>
      <c r="AL180" s="10" t="str">
        <f t="shared" si="47"/>
        <v/>
      </c>
      <c r="AM180" s="11"/>
      <c r="AN180" s="10" t="str">
        <f t="shared" si="48"/>
        <v/>
      </c>
      <c r="AO180" s="10" t="str">
        <f t="shared" si="49"/>
        <v/>
      </c>
    </row>
    <row r="181" spans="4:41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f t="shared" si="42"/>
        <v>0</v>
      </c>
      <c r="P181" s="8" t="str">
        <f>IF(O181="","",VLOOKUP(O181,Lists!$E:$F,2,FALSE))</f>
        <v/>
      </c>
      <c r="AC181" s="10" t="str">
        <f t="shared" si="43"/>
        <v/>
      </c>
      <c r="AD181" s="11"/>
      <c r="AE181" s="10" t="str">
        <f t="shared" si="44"/>
        <v/>
      </c>
      <c r="AF181" s="10" t="str">
        <f t="shared" si="45"/>
        <v/>
      </c>
      <c r="AJ181" t="str">
        <f t="shared" si="46"/>
        <v/>
      </c>
      <c r="AL181" s="10" t="str">
        <f t="shared" si="47"/>
        <v/>
      </c>
      <c r="AM181" s="11"/>
      <c r="AN181" s="10" t="str">
        <f t="shared" si="48"/>
        <v/>
      </c>
      <c r="AO181" s="10" t="str">
        <f t="shared" si="49"/>
        <v/>
      </c>
    </row>
    <row r="182" spans="4:41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f t="shared" si="42"/>
        <v>0</v>
      </c>
      <c r="P182" s="8" t="str">
        <f>IF(O182="","",VLOOKUP(O182,Lists!$E:$F,2,FALSE))</f>
        <v/>
      </c>
      <c r="AC182" s="10" t="str">
        <f t="shared" si="43"/>
        <v/>
      </c>
      <c r="AD182" s="11"/>
      <c r="AE182" s="10" t="str">
        <f t="shared" si="44"/>
        <v/>
      </c>
      <c r="AF182" s="10" t="str">
        <f t="shared" si="45"/>
        <v/>
      </c>
      <c r="AJ182" t="str">
        <f t="shared" si="46"/>
        <v/>
      </c>
      <c r="AL182" s="10" t="str">
        <f t="shared" si="47"/>
        <v/>
      </c>
      <c r="AM182" s="11"/>
      <c r="AN182" s="10" t="str">
        <f t="shared" si="48"/>
        <v/>
      </c>
      <c r="AO182" s="10" t="str">
        <f t="shared" si="49"/>
        <v/>
      </c>
    </row>
    <row r="183" spans="4:41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f t="shared" si="42"/>
        <v>0</v>
      </c>
      <c r="P183" s="8" t="str">
        <f>IF(O183="","",VLOOKUP(O183,Lists!$E:$F,2,FALSE))</f>
        <v/>
      </c>
      <c r="AC183" s="10" t="str">
        <f t="shared" si="43"/>
        <v/>
      </c>
      <c r="AD183" s="11"/>
      <c r="AE183" s="10" t="str">
        <f t="shared" si="44"/>
        <v/>
      </c>
      <c r="AF183" s="10" t="str">
        <f t="shared" si="45"/>
        <v/>
      </c>
      <c r="AJ183" t="str">
        <f t="shared" si="46"/>
        <v/>
      </c>
      <c r="AL183" s="10" t="str">
        <f t="shared" si="47"/>
        <v/>
      </c>
      <c r="AM183" s="11"/>
      <c r="AN183" s="10" t="str">
        <f t="shared" si="48"/>
        <v/>
      </c>
      <c r="AO183" s="10" t="str">
        <f t="shared" si="49"/>
        <v/>
      </c>
    </row>
    <row r="184" spans="4:41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f t="shared" si="42"/>
        <v>0</v>
      </c>
      <c r="P184" s="8" t="str">
        <f>IF(O184="","",VLOOKUP(O184,Lists!$E:$F,2,FALSE))</f>
        <v/>
      </c>
      <c r="AC184" s="10" t="str">
        <f t="shared" si="43"/>
        <v/>
      </c>
      <c r="AD184" s="11"/>
      <c r="AE184" s="10" t="str">
        <f t="shared" si="44"/>
        <v/>
      </c>
      <c r="AF184" s="10" t="str">
        <f t="shared" si="45"/>
        <v/>
      </c>
      <c r="AJ184" t="str">
        <f t="shared" si="46"/>
        <v/>
      </c>
      <c r="AL184" s="10" t="str">
        <f t="shared" si="47"/>
        <v/>
      </c>
      <c r="AM184" s="11"/>
      <c r="AN184" s="10" t="str">
        <f t="shared" si="48"/>
        <v/>
      </c>
      <c r="AO184" s="10" t="str">
        <f t="shared" si="49"/>
        <v/>
      </c>
    </row>
    <row r="185" spans="4:41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f t="shared" si="42"/>
        <v>0</v>
      </c>
      <c r="P185" s="8" t="str">
        <f>IF(O185="","",VLOOKUP(O185,Lists!$E:$F,2,FALSE))</f>
        <v/>
      </c>
      <c r="AC185" s="10" t="str">
        <f t="shared" si="43"/>
        <v/>
      </c>
      <c r="AD185" s="11"/>
      <c r="AE185" s="10" t="str">
        <f t="shared" si="44"/>
        <v/>
      </c>
      <c r="AF185" s="10" t="str">
        <f t="shared" si="45"/>
        <v/>
      </c>
      <c r="AJ185" t="str">
        <f t="shared" si="46"/>
        <v/>
      </c>
      <c r="AL185" s="10" t="str">
        <f t="shared" si="47"/>
        <v/>
      </c>
      <c r="AM185" s="11"/>
      <c r="AN185" s="10" t="str">
        <f t="shared" si="48"/>
        <v/>
      </c>
      <c r="AO185" s="10" t="str">
        <f t="shared" si="49"/>
        <v/>
      </c>
    </row>
    <row r="186" spans="4:41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f t="shared" si="42"/>
        <v>0</v>
      </c>
      <c r="P186" s="8" t="str">
        <f>IF(O186="","",VLOOKUP(O186,Lists!$E:$F,2,FALSE))</f>
        <v/>
      </c>
      <c r="AC186" s="10" t="str">
        <f t="shared" si="43"/>
        <v/>
      </c>
      <c r="AD186" s="11"/>
      <c r="AE186" s="10" t="str">
        <f t="shared" si="44"/>
        <v/>
      </c>
      <c r="AF186" s="10" t="str">
        <f t="shared" si="45"/>
        <v/>
      </c>
      <c r="AJ186" t="str">
        <f t="shared" si="46"/>
        <v/>
      </c>
      <c r="AL186" s="10" t="str">
        <f t="shared" si="47"/>
        <v/>
      </c>
      <c r="AM186" s="11"/>
      <c r="AN186" s="10" t="str">
        <f t="shared" si="48"/>
        <v/>
      </c>
      <c r="AO186" s="10" t="str">
        <f t="shared" si="49"/>
        <v/>
      </c>
    </row>
    <row r="187" spans="4:41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f t="shared" si="42"/>
        <v>0</v>
      </c>
      <c r="P187" s="8" t="str">
        <f>IF(O187="","",VLOOKUP(O187,Lists!$E:$F,2,FALSE))</f>
        <v/>
      </c>
      <c r="AC187" s="10" t="str">
        <f t="shared" si="43"/>
        <v/>
      </c>
      <c r="AD187" s="11"/>
      <c r="AE187" s="10" t="str">
        <f t="shared" si="44"/>
        <v/>
      </c>
      <c r="AF187" s="10" t="str">
        <f t="shared" si="45"/>
        <v/>
      </c>
      <c r="AJ187" t="str">
        <f t="shared" si="46"/>
        <v/>
      </c>
      <c r="AL187" s="10" t="str">
        <f t="shared" si="47"/>
        <v/>
      </c>
      <c r="AM187" s="11"/>
      <c r="AN187" s="10" t="str">
        <f t="shared" si="48"/>
        <v/>
      </c>
      <c r="AO187" s="10" t="str">
        <f t="shared" si="49"/>
        <v/>
      </c>
    </row>
    <row r="188" spans="4:41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f t="shared" si="42"/>
        <v>0</v>
      </c>
      <c r="P188" s="8" t="str">
        <f>IF(O188="","",VLOOKUP(O188,Lists!$E:$F,2,FALSE))</f>
        <v/>
      </c>
      <c r="AC188" s="10" t="str">
        <f t="shared" si="43"/>
        <v/>
      </c>
      <c r="AD188" s="11"/>
      <c r="AE188" s="10" t="str">
        <f t="shared" si="44"/>
        <v/>
      </c>
      <c r="AF188" s="10" t="str">
        <f t="shared" si="45"/>
        <v/>
      </c>
      <c r="AJ188" t="str">
        <f t="shared" si="46"/>
        <v/>
      </c>
      <c r="AL188" s="10" t="str">
        <f t="shared" si="47"/>
        <v/>
      </c>
      <c r="AM188" s="11"/>
      <c r="AN188" s="10" t="str">
        <f t="shared" si="48"/>
        <v/>
      </c>
      <c r="AO188" s="10" t="str">
        <f t="shared" si="49"/>
        <v/>
      </c>
    </row>
    <row r="189" spans="4:41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f t="shared" si="42"/>
        <v>0</v>
      </c>
      <c r="P189" s="8" t="str">
        <f>IF(O189="","",VLOOKUP(O189,Lists!$E:$F,2,FALSE))</f>
        <v/>
      </c>
      <c r="AC189" s="10" t="str">
        <f t="shared" si="43"/>
        <v/>
      </c>
      <c r="AD189" s="11"/>
      <c r="AE189" s="10" t="str">
        <f t="shared" si="44"/>
        <v/>
      </c>
      <c r="AF189" s="10" t="str">
        <f t="shared" si="45"/>
        <v/>
      </c>
      <c r="AJ189" t="str">
        <f t="shared" si="46"/>
        <v/>
      </c>
      <c r="AL189" s="10" t="str">
        <f t="shared" si="47"/>
        <v/>
      </c>
      <c r="AM189" s="11"/>
      <c r="AN189" s="10" t="str">
        <f t="shared" si="48"/>
        <v/>
      </c>
      <c r="AO189" s="10" t="str">
        <f t="shared" si="49"/>
        <v/>
      </c>
    </row>
    <row r="190" spans="4:41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f t="shared" si="42"/>
        <v>0</v>
      </c>
      <c r="P190" s="8" t="str">
        <f>IF(O190="","",VLOOKUP(O190,Lists!$E:$F,2,FALSE))</f>
        <v/>
      </c>
      <c r="AC190" s="10" t="str">
        <f t="shared" si="43"/>
        <v/>
      </c>
      <c r="AD190" s="11"/>
      <c r="AE190" s="10" t="str">
        <f t="shared" si="44"/>
        <v/>
      </c>
      <c r="AF190" s="10" t="str">
        <f t="shared" si="45"/>
        <v/>
      </c>
      <c r="AJ190" t="str">
        <f t="shared" si="46"/>
        <v/>
      </c>
      <c r="AL190" s="10" t="str">
        <f t="shared" si="47"/>
        <v/>
      </c>
      <c r="AM190" s="11"/>
      <c r="AN190" s="10" t="str">
        <f t="shared" si="48"/>
        <v/>
      </c>
      <c r="AO190" s="10" t="str">
        <f t="shared" si="49"/>
        <v/>
      </c>
    </row>
    <row r="191" spans="4:41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f t="shared" si="42"/>
        <v>0</v>
      </c>
      <c r="P191" s="8" t="str">
        <f>IF(O191="","",VLOOKUP(O191,Lists!$E:$F,2,FALSE))</f>
        <v/>
      </c>
      <c r="AC191" s="10" t="str">
        <f t="shared" si="43"/>
        <v/>
      </c>
      <c r="AD191" s="11"/>
      <c r="AE191" s="10" t="str">
        <f t="shared" si="44"/>
        <v/>
      </c>
      <c r="AF191" s="10" t="str">
        <f t="shared" si="45"/>
        <v/>
      </c>
      <c r="AJ191" t="str">
        <f t="shared" si="46"/>
        <v/>
      </c>
      <c r="AL191" s="10" t="str">
        <f t="shared" si="47"/>
        <v/>
      </c>
      <c r="AM191" s="11"/>
      <c r="AN191" s="10" t="str">
        <f t="shared" si="48"/>
        <v/>
      </c>
      <c r="AO191" s="10" t="str">
        <f t="shared" si="49"/>
        <v/>
      </c>
    </row>
    <row r="192" spans="4:41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f t="shared" si="42"/>
        <v>0</v>
      </c>
      <c r="P192" s="8" t="str">
        <f>IF(O192="","",VLOOKUP(O192,Lists!$E:$F,2,FALSE))</f>
        <v/>
      </c>
      <c r="AC192" s="10" t="str">
        <f t="shared" si="43"/>
        <v/>
      </c>
      <c r="AD192" s="11"/>
      <c r="AE192" s="10" t="str">
        <f t="shared" si="44"/>
        <v/>
      </c>
      <c r="AF192" s="10" t="str">
        <f t="shared" si="45"/>
        <v/>
      </c>
      <c r="AJ192" t="str">
        <f t="shared" si="46"/>
        <v/>
      </c>
      <c r="AL192" s="10" t="str">
        <f t="shared" si="47"/>
        <v/>
      </c>
      <c r="AM192" s="11"/>
      <c r="AN192" s="10" t="str">
        <f t="shared" si="48"/>
        <v/>
      </c>
      <c r="AO192" s="10" t="str">
        <f t="shared" si="49"/>
        <v/>
      </c>
    </row>
    <row r="193" spans="4:41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f t="shared" si="42"/>
        <v>0</v>
      </c>
      <c r="P193" s="8" t="str">
        <f>IF(O193="","",VLOOKUP(O193,Lists!$E:$F,2,FALSE))</f>
        <v/>
      </c>
      <c r="AC193" s="10" t="str">
        <f t="shared" si="43"/>
        <v/>
      </c>
      <c r="AD193" s="11"/>
      <c r="AE193" s="10" t="str">
        <f t="shared" si="44"/>
        <v/>
      </c>
      <c r="AF193" s="10" t="str">
        <f t="shared" si="45"/>
        <v/>
      </c>
      <c r="AJ193" t="str">
        <f t="shared" si="46"/>
        <v/>
      </c>
      <c r="AL193" s="10" t="str">
        <f t="shared" si="47"/>
        <v/>
      </c>
      <c r="AM193" s="11"/>
      <c r="AN193" s="10" t="str">
        <f t="shared" si="48"/>
        <v/>
      </c>
      <c r="AO193" s="10" t="str">
        <f t="shared" si="49"/>
        <v/>
      </c>
    </row>
    <row r="194" spans="4:41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f t="shared" ref="M194:M201" si="50">IF(K194="Eigen Beheer",0,IF(AND(ISNUMBER(L194),I194&lt;&gt;"",H194&lt;&gt;""),(L194*12/365)*(I194-H194),0))</f>
        <v>0</v>
      </c>
      <c r="P194" s="8" t="str">
        <f>IF(O194="","",VLOOKUP(O194,Lists!$E:$F,2,FALSE))</f>
        <v/>
      </c>
      <c r="AC194" s="10" t="str">
        <f t="shared" ref="AC194:AC201" si="51">IF(AND(AA194&lt;&gt;"",AB194&lt;&gt;""),AA194*AB194,"")</f>
        <v/>
      </c>
      <c r="AD194" s="11"/>
      <c r="AE194" s="10" t="str">
        <f t="shared" ref="AE194:AE201" si="52">IF(AND(AC194&lt;&gt;"",AD194&lt;&gt;""),AC194*AD194,"")</f>
        <v/>
      </c>
      <c r="AF194" s="10" t="str">
        <f t="shared" ref="AF194:AF201" si="53">IF(AND(AC194&lt;&gt;"",AE194&lt;&gt;""),AC194+AE194,"")</f>
        <v/>
      </c>
      <c r="AJ194" t="str">
        <f t="shared" ref="AJ194:AJ201" si="54"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L194" s="10" t="str">
        <f t="shared" ref="AL194:AL201" si="55">IF(AND(AJ194&lt;&gt;"",AK194&lt;&gt;""),AJ194*AK194,"")</f>
        <v/>
      </c>
      <c r="AM194" s="11"/>
      <c r="AN194" s="10" t="str">
        <f t="shared" ref="AN194:AN201" si="56">IF(AND(AL194&lt;&gt;"",AM194&lt;&gt;""),AL194*AM194,"")</f>
        <v/>
      </c>
      <c r="AO194" s="10" t="str">
        <f t="shared" ref="AO194:AO201" si="57">IF(AND(AL194&lt;&gt;"",AN194&lt;&gt;""),AL194+AN194,"")</f>
        <v/>
      </c>
    </row>
    <row r="195" spans="4:41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f t="shared" si="50"/>
        <v>0</v>
      </c>
      <c r="P195" s="8" t="str">
        <f>IF(O195="","",VLOOKUP(O195,Lists!$E:$F,2,FALSE))</f>
        <v/>
      </c>
      <c r="AC195" s="10" t="str">
        <f t="shared" si="51"/>
        <v/>
      </c>
      <c r="AD195" s="11"/>
      <c r="AE195" s="10" t="str">
        <f t="shared" si="52"/>
        <v/>
      </c>
      <c r="AF195" s="10" t="str">
        <f t="shared" si="53"/>
        <v/>
      </c>
      <c r="AJ195" t="str">
        <f t="shared" si="54"/>
        <v/>
      </c>
      <c r="AL195" s="10" t="str">
        <f t="shared" si="55"/>
        <v/>
      </c>
      <c r="AM195" s="11"/>
      <c r="AN195" s="10" t="str">
        <f t="shared" si="56"/>
        <v/>
      </c>
      <c r="AO195" s="10" t="str">
        <f t="shared" si="57"/>
        <v/>
      </c>
    </row>
    <row r="196" spans="4:41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f t="shared" si="50"/>
        <v>0</v>
      </c>
      <c r="P196" s="8" t="str">
        <f>IF(O196="","",VLOOKUP(O196,Lists!$E:$F,2,FALSE))</f>
        <v/>
      </c>
      <c r="AC196" s="10" t="str">
        <f t="shared" si="51"/>
        <v/>
      </c>
      <c r="AD196" s="11"/>
      <c r="AE196" s="10" t="str">
        <f t="shared" si="52"/>
        <v/>
      </c>
      <c r="AF196" s="10" t="str">
        <f t="shared" si="53"/>
        <v/>
      </c>
      <c r="AJ196" t="str">
        <f t="shared" si="54"/>
        <v/>
      </c>
      <c r="AL196" s="10" t="str">
        <f t="shared" si="55"/>
        <v/>
      </c>
      <c r="AM196" s="11"/>
      <c r="AN196" s="10" t="str">
        <f t="shared" si="56"/>
        <v/>
      </c>
      <c r="AO196" s="10" t="str">
        <f t="shared" si="57"/>
        <v/>
      </c>
    </row>
    <row r="197" spans="4:41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f t="shared" si="50"/>
        <v>0</v>
      </c>
      <c r="P197" s="8" t="str">
        <f>IF(O197="","",VLOOKUP(O197,Lists!$E:$F,2,FALSE))</f>
        <v/>
      </c>
      <c r="AC197" s="10" t="str">
        <f t="shared" si="51"/>
        <v/>
      </c>
      <c r="AD197" s="11"/>
      <c r="AE197" s="10" t="str">
        <f t="shared" si="52"/>
        <v/>
      </c>
      <c r="AF197" s="10" t="str">
        <f t="shared" si="53"/>
        <v/>
      </c>
      <c r="AJ197" t="str">
        <f t="shared" si="54"/>
        <v/>
      </c>
      <c r="AL197" s="10" t="str">
        <f t="shared" si="55"/>
        <v/>
      </c>
      <c r="AM197" s="11"/>
      <c r="AN197" s="10" t="str">
        <f t="shared" si="56"/>
        <v/>
      </c>
      <c r="AO197" s="10" t="str">
        <f t="shared" si="57"/>
        <v/>
      </c>
    </row>
    <row r="198" spans="4:41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f t="shared" si="50"/>
        <v>0</v>
      </c>
      <c r="P198" s="8" t="str">
        <f>IF(O198="","",VLOOKUP(O198,Lists!$E:$F,2,FALSE))</f>
        <v/>
      </c>
      <c r="AC198" s="10" t="str">
        <f t="shared" si="51"/>
        <v/>
      </c>
      <c r="AD198" s="11"/>
      <c r="AE198" s="10" t="str">
        <f t="shared" si="52"/>
        <v/>
      </c>
      <c r="AF198" s="10" t="str">
        <f t="shared" si="53"/>
        <v/>
      </c>
      <c r="AJ198" t="str">
        <f t="shared" si="54"/>
        <v/>
      </c>
      <c r="AL198" s="10" t="str">
        <f t="shared" si="55"/>
        <v/>
      </c>
      <c r="AM198" s="11"/>
      <c r="AN198" s="10" t="str">
        <f t="shared" si="56"/>
        <v/>
      </c>
      <c r="AO198" s="10" t="str">
        <f t="shared" si="57"/>
        <v/>
      </c>
    </row>
    <row r="199" spans="4:41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f t="shared" si="50"/>
        <v>0</v>
      </c>
      <c r="P199" s="8" t="str">
        <f>IF(O199="","",VLOOKUP(O199,Lists!$E:$F,2,FALSE))</f>
        <v/>
      </c>
      <c r="AC199" s="10" t="str">
        <f t="shared" si="51"/>
        <v/>
      </c>
      <c r="AD199" s="11"/>
      <c r="AE199" s="10" t="str">
        <f t="shared" si="52"/>
        <v/>
      </c>
      <c r="AF199" s="10" t="str">
        <f t="shared" si="53"/>
        <v/>
      </c>
      <c r="AJ199" t="str">
        <f t="shared" si="54"/>
        <v/>
      </c>
      <c r="AL199" s="10" t="str">
        <f t="shared" si="55"/>
        <v/>
      </c>
      <c r="AM199" s="11"/>
      <c r="AN199" s="10" t="str">
        <f t="shared" si="56"/>
        <v/>
      </c>
      <c r="AO199" s="10" t="str">
        <f t="shared" si="57"/>
        <v/>
      </c>
    </row>
    <row r="200" spans="4:41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f t="shared" si="50"/>
        <v>0</v>
      </c>
      <c r="P200" s="8" t="str">
        <f>IF(O200="","",VLOOKUP(O200,Lists!$E:$F,2,FALSE))</f>
        <v/>
      </c>
      <c r="AC200" s="10" t="str">
        <f t="shared" si="51"/>
        <v/>
      </c>
      <c r="AD200" s="11"/>
      <c r="AE200" s="10" t="str">
        <f t="shared" si="52"/>
        <v/>
      </c>
      <c r="AF200" s="10" t="str">
        <f t="shared" si="53"/>
        <v/>
      </c>
      <c r="AJ200" t="str">
        <f t="shared" si="54"/>
        <v/>
      </c>
      <c r="AL200" s="10" t="str">
        <f t="shared" si="55"/>
        <v/>
      </c>
      <c r="AM200" s="11"/>
      <c r="AN200" s="10" t="str">
        <f t="shared" si="56"/>
        <v/>
      </c>
      <c r="AO200" s="10" t="str">
        <f t="shared" si="57"/>
        <v/>
      </c>
    </row>
    <row r="201" spans="4:41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f t="shared" si="50"/>
        <v>0</v>
      </c>
      <c r="P201" s="8" t="str">
        <f>IF(O201="","",VLOOKUP(O201,Lists!$E:$F,2,FALSE))</f>
        <v/>
      </c>
      <c r="AC201" s="10" t="str">
        <f t="shared" si="51"/>
        <v/>
      </c>
      <c r="AD201" s="11"/>
      <c r="AE201" s="10" t="str">
        <f t="shared" si="52"/>
        <v/>
      </c>
      <c r="AF201" s="10" t="str">
        <f t="shared" si="53"/>
        <v/>
      </c>
      <c r="AJ201" t="str">
        <f t="shared" si="54"/>
        <v/>
      </c>
      <c r="AL201" s="10" t="str">
        <f t="shared" si="55"/>
        <v/>
      </c>
      <c r="AM201" s="11"/>
      <c r="AN201" s="10" t="str">
        <f t="shared" si="56"/>
        <v/>
      </c>
      <c r="AO201" s="10" t="str">
        <f t="shared" si="57"/>
        <v/>
      </c>
    </row>
  </sheetData>
  <phoneticPr fontId="4" type="noConversion"/>
  <conditionalFormatting sqref="D2:S5000">
    <cfRule type="expression" dxfId="3" priority="8" stopIfTrue="1">
      <formula>$B2&lt;&gt;"Basis"</formula>
    </cfRule>
  </conditionalFormatting>
  <conditionalFormatting sqref="T2:Y5000">
    <cfRule type="expression" dxfId="2" priority="7" stopIfTrue="1">
      <formula>$B2&lt;&gt;"GWE"</formula>
    </cfRule>
  </conditionalFormatting>
  <conditionalFormatting sqref="Z2:AF5000">
    <cfRule type="expression" dxfId="1" priority="6" stopIfTrue="1">
      <formula>$B2&lt;&gt;"Schoonmaak"</formula>
    </cfRule>
  </conditionalFormatting>
  <conditionalFormatting sqref="AG2:AO5000">
    <cfRule type="expression" dxfId="0" priority="1" stopIfTrue="1">
      <formula>AND($B2&lt;&gt;"Schade",$B2&lt;&gt;"Extra",$B2&lt;&gt;"GWE_Item")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K2:K5000" xr:uid="{00000000-0002-0000-0100-000003000000}">
      <formula1>"Via RyanRent,Eigen Beheer"</formula1>
    </dataValidation>
    <dataValidation type="list" allowBlank="1" sqref="Z2:Z5000" xr:uid="{00000000-0002-0000-0100-000004000000}">
      <formula1>"Basis Schoonmaak,Intensief Schoonmaak,Geen Schoonmaak,Achteraf Betaald"</formula1>
    </dataValidation>
    <dataValidation type="list" allowBlank="1" sqref="AG2:AG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42</v>
      </c>
      <c r="B1" t="s">
        <v>8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2">
      <c r="A2" t="s">
        <v>49</v>
      </c>
      <c r="B2" t="s">
        <v>50</v>
      </c>
      <c r="C2" t="s">
        <v>51</v>
      </c>
      <c r="D2">
        <v>50223</v>
      </c>
      <c r="E2" t="s">
        <v>52</v>
      </c>
      <c r="F2">
        <v>98</v>
      </c>
      <c r="G2">
        <v>200</v>
      </c>
      <c r="H2">
        <v>0</v>
      </c>
    </row>
    <row r="3" spans="1:8" x14ac:dyDescent="0.2">
      <c r="A3" t="s">
        <v>53</v>
      </c>
      <c r="B3" t="s">
        <v>54</v>
      </c>
      <c r="C3" t="s">
        <v>55</v>
      </c>
      <c r="D3">
        <v>50224</v>
      </c>
      <c r="E3" t="s">
        <v>56</v>
      </c>
      <c r="F3">
        <v>82</v>
      </c>
      <c r="G3">
        <v>0</v>
      </c>
      <c r="H3">
        <v>0</v>
      </c>
    </row>
    <row r="4" spans="1:8" x14ac:dyDescent="0.2">
      <c r="A4" t="s">
        <v>57</v>
      </c>
      <c r="B4" t="s">
        <v>58</v>
      </c>
      <c r="C4" t="s">
        <v>59</v>
      </c>
      <c r="D4">
        <v>94</v>
      </c>
      <c r="E4" t="s">
        <v>60</v>
      </c>
      <c r="F4">
        <v>95</v>
      </c>
      <c r="G4">
        <v>0</v>
      </c>
      <c r="H4">
        <v>3300</v>
      </c>
    </row>
    <row r="5" spans="1:8" x14ac:dyDescent="0.2">
      <c r="A5" t="s">
        <v>61</v>
      </c>
      <c r="B5" t="s">
        <v>62</v>
      </c>
      <c r="C5" t="s">
        <v>59</v>
      </c>
      <c r="D5">
        <v>100151</v>
      </c>
      <c r="E5" t="s">
        <v>63</v>
      </c>
      <c r="F5">
        <v>81</v>
      </c>
      <c r="G5">
        <v>0</v>
      </c>
      <c r="H5">
        <v>2550</v>
      </c>
    </row>
    <row r="6" spans="1:8" x14ac:dyDescent="0.2">
      <c r="A6" t="s">
        <v>64</v>
      </c>
      <c r="B6" t="s">
        <v>65</v>
      </c>
      <c r="C6" t="s">
        <v>66</v>
      </c>
      <c r="D6">
        <v>50146</v>
      </c>
      <c r="E6" t="s">
        <v>67</v>
      </c>
      <c r="F6">
        <v>28</v>
      </c>
      <c r="G6">
        <v>150</v>
      </c>
      <c r="H6">
        <v>2271.7600000000002</v>
      </c>
    </row>
    <row r="7" spans="1:8" x14ac:dyDescent="0.2">
      <c r="A7" t="s">
        <v>68</v>
      </c>
      <c r="B7" t="s">
        <v>69</v>
      </c>
      <c r="C7" t="s">
        <v>70</v>
      </c>
      <c r="D7">
        <v>50405</v>
      </c>
      <c r="E7" t="s">
        <v>71</v>
      </c>
      <c r="F7">
        <v>24</v>
      </c>
      <c r="G7">
        <v>150</v>
      </c>
      <c r="H7">
        <v>1940</v>
      </c>
    </row>
    <row r="8" spans="1:8" x14ac:dyDescent="0.2">
      <c r="A8" t="s">
        <v>72</v>
      </c>
      <c r="B8" t="s">
        <v>73</v>
      </c>
      <c r="C8" t="s">
        <v>74</v>
      </c>
      <c r="D8">
        <v>74</v>
      </c>
      <c r="E8" t="s">
        <v>75</v>
      </c>
      <c r="F8">
        <v>6</v>
      </c>
      <c r="G8">
        <v>150</v>
      </c>
      <c r="H8">
        <v>2022.35</v>
      </c>
    </row>
    <row r="9" spans="1:8" x14ac:dyDescent="0.2">
      <c r="A9" t="s">
        <v>76</v>
      </c>
      <c r="B9" t="s">
        <v>77</v>
      </c>
      <c r="C9" t="s">
        <v>63</v>
      </c>
      <c r="D9">
        <v>50142</v>
      </c>
      <c r="E9" t="s">
        <v>78</v>
      </c>
      <c r="F9">
        <v>46</v>
      </c>
      <c r="G9">
        <v>0</v>
      </c>
      <c r="H9">
        <v>2300</v>
      </c>
    </row>
    <row r="10" spans="1:8" x14ac:dyDescent="0.2">
      <c r="A10" t="s">
        <v>79</v>
      </c>
      <c r="B10" t="s">
        <v>80</v>
      </c>
      <c r="C10" t="s">
        <v>81</v>
      </c>
      <c r="D10">
        <v>72</v>
      </c>
      <c r="E10" t="s">
        <v>82</v>
      </c>
      <c r="F10">
        <v>85</v>
      </c>
      <c r="G10">
        <v>500</v>
      </c>
      <c r="H10">
        <v>2255</v>
      </c>
    </row>
    <row r="11" spans="1:8" x14ac:dyDescent="0.2">
      <c r="A11" t="s">
        <v>83</v>
      </c>
      <c r="B11" t="s">
        <v>84</v>
      </c>
      <c r="C11" t="s">
        <v>67</v>
      </c>
      <c r="D11">
        <v>100098</v>
      </c>
      <c r="E11" t="s">
        <v>85</v>
      </c>
      <c r="F11">
        <v>94</v>
      </c>
      <c r="G11">
        <v>250</v>
      </c>
      <c r="H11">
        <v>2594.12</v>
      </c>
    </row>
    <row r="12" spans="1:8" x14ac:dyDescent="0.2">
      <c r="A12" t="s">
        <v>86</v>
      </c>
      <c r="B12" t="s">
        <v>87</v>
      </c>
      <c r="C12" t="s">
        <v>88</v>
      </c>
      <c r="D12">
        <v>50189</v>
      </c>
      <c r="E12" t="s">
        <v>89</v>
      </c>
      <c r="F12">
        <v>52</v>
      </c>
      <c r="G12">
        <v>0</v>
      </c>
      <c r="H12">
        <v>0</v>
      </c>
    </row>
    <row r="13" spans="1:8" x14ac:dyDescent="0.2">
      <c r="A13" t="s">
        <v>90</v>
      </c>
      <c r="B13" t="s">
        <v>91</v>
      </c>
      <c r="C13" t="s">
        <v>71</v>
      </c>
      <c r="D13">
        <v>86</v>
      </c>
      <c r="E13" t="s">
        <v>92</v>
      </c>
      <c r="F13">
        <v>45</v>
      </c>
      <c r="G13">
        <v>350</v>
      </c>
      <c r="H13">
        <v>0</v>
      </c>
    </row>
    <row r="14" spans="1:8" x14ac:dyDescent="0.2">
      <c r="A14" t="s">
        <v>93</v>
      </c>
      <c r="B14" t="s">
        <v>94</v>
      </c>
      <c r="C14" t="s">
        <v>95</v>
      </c>
      <c r="D14">
        <v>44</v>
      </c>
      <c r="E14" t="s">
        <v>96</v>
      </c>
      <c r="F14">
        <v>18</v>
      </c>
      <c r="G14">
        <v>400</v>
      </c>
      <c r="H14">
        <v>0</v>
      </c>
    </row>
    <row r="15" spans="1:8" x14ac:dyDescent="0.2">
      <c r="A15" t="s">
        <v>97</v>
      </c>
      <c r="B15" t="s">
        <v>98</v>
      </c>
      <c r="C15" t="s">
        <v>99</v>
      </c>
      <c r="D15">
        <v>64</v>
      </c>
      <c r="E15" t="s">
        <v>100</v>
      </c>
      <c r="F15">
        <v>83</v>
      </c>
      <c r="G15">
        <v>300</v>
      </c>
      <c r="H15">
        <v>0</v>
      </c>
    </row>
    <row r="16" spans="1:8" x14ac:dyDescent="0.2">
      <c r="A16" t="s">
        <v>101</v>
      </c>
      <c r="B16" t="s">
        <v>102</v>
      </c>
      <c r="C16" t="s">
        <v>103</v>
      </c>
      <c r="D16">
        <v>50353</v>
      </c>
      <c r="E16" t="s">
        <v>104</v>
      </c>
      <c r="F16">
        <v>115</v>
      </c>
      <c r="G16">
        <v>0</v>
      </c>
      <c r="H16">
        <v>0</v>
      </c>
    </row>
    <row r="17" spans="1:8" x14ac:dyDescent="0.2">
      <c r="A17" t="s">
        <v>105</v>
      </c>
      <c r="B17" t="s">
        <v>106</v>
      </c>
      <c r="C17" t="s">
        <v>107</v>
      </c>
      <c r="D17">
        <v>50332</v>
      </c>
      <c r="E17" t="s">
        <v>108</v>
      </c>
      <c r="F17">
        <v>80</v>
      </c>
      <c r="G17">
        <v>300</v>
      </c>
      <c r="H17">
        <v>0</v>
      </c>
    </row>
    <row r="18" spans="1:8" x14ac:dyDescent="0.2">
      <c r="A18" t="s">
        <v>109</v>
      </c>
      <c r="B18" t="s">
        <v>110</v>
      </c>
      <c r="C18" t="s">
        <v>111</v>
      </c>
      <c r="D18">
        <v>50315</v>
      </c>
      <c r="E18" t="s">
        <v>112</v>
      </c>
      <c r="F18">
        <v>91</v>
      </c>
      <c r="G18">
        <v>0</v>
      </c>
      <c r="H18">
        <v>0</v>
      </c>
    </row>
    <row r="19" spans="1:8" x14ac:dyDescent="0.2">
      <c r="A19" t="s">
        <v>113</v>
      </c>
      <c r="B19" t="s">
        <v>114</v>
      </c>
      <c r="C19" t="s">
        <v>115</v>
      </c>
      <c r="D19">
        <v>50352</v>
      </c>
      <c r="E19" t="s">
        <v>116</v>
      </c>
      <c r="F19">
        <v>120</v>
      </c>
      <c r="G19">
        <v>0</v>
      </c>
      <c r="H19">
        <v>0</v>
      </c>
    </row>
    <row r="20" spans="1:8" x14ac:dyDescent="0.2">
      <c r="A20" t="s">
        <v>117</v>
      </c>
      <c r="B20" t="s">
        <v>118</v>
      </c>
      <c r="C20" t="s">
        <v>119</v>
      </c>
      <c r="D20">
        <v>50348</v>
      </c>
      <c r="E20" t="s">
        <v>120</v>
      </c>
      <c r="F20">
        <v>71</v>
      </c>
      <c r="G20">
        <v>450</v>
      </c>
      <c r="H20">
        <v>2176.4699999999998</v>
      </c>
    </row>
    <row r="21" spans="1:8" x14ac:dyDescent="0.2">
      <c r="A21" t="s">
        <v>121</v>
      </c>
      <c r="B21" t="s">
        <v>122</v>
      </c>
      <c r="C21" t="s">
        <v>123</v>
      </c>
      <c r="D21">
        <v>31</v>
      </c>
      <c r="E21" t="s">
        <v>124</v>
      </c>
      <c r="F21">
        <v>9</v>
      </c>
      <c r="G21">
        <v>0</v>
      </c>
      <c r="H21">
        <v>0</v>
      </c>
    </row>
    <row r="22" spans="1:8" x14ac:dyDescent="0.2">
      <c r="A22" t="s">
        <v>125</v>
      </c>
      <c r="B22" t="s">
        <v>126</v>
      </c>
      <c r="C22" t="s">
        <v>127</v>
      </c>
      <c r="D22">
        <v>50287</v>
      </c>
      <c r="E22" t="s">
        <v>128</v>
      </c>
      <c r="F22">
        <v>114</v>
      </c>
      <c r="G22">
        <v>200</v>
      </c>
      <c r="H22">
        <v>0</v>
      </c>
    </row>
    <row r="23" spans="1:8" x14ac:dyDescent="0.2">
      <c r="A23" t="s">
        <v>129</v>
      </c>
      <c r="B23" t="s">
        <v>130</v>
      </c>
      <c r="C23" t="s">
        <v>131</v>
      </c>
      <c r="D23">
        <v>50157</v>
      </c>
      <c r="E23" t="s">
        <v>132</v>
      </c>
      <c r="F23">
        <v>19</v>
      </c>
      <c r="G23">
        <v>0</v>
      </c>
      <c r="H23">
        <v>0</v>
      </c>
    </row>
    <row r="24" spans="1:8" x14ac:dyDescent="0.2">
      <c r="A24" t="s">
        <v>133</v>
      </c>
      <c r="B24" t="s">
        <v>134</v>
      </c>
      <c r="C24" t="s">
        <v>135</v>
      </c>
      <c r="D24">
        <v>50299</v>
      </c>
      <c r="E24" t="s">
        <v>136</v>
      </c>
      <c r="F24">
        <v>108</v>
      </c>
      <c r="G24">
        <v>250</v>
      </c>
      <c r="H24">
        <v>0</v>
      </c>
    </row>
    <row r="25" spans="1:8" x14ac:dyDescent="0.2">
      <c r="A25" t="s">
        <v>137</v>
      </c>
      <c r="B25" t="s">
        <v>138</v>
      </c>
      <c r="C25" t="s">
        <v>139</v>
      </c>
      <c r="D25">
        <v>50008</v>
      </c>
      <c r="E25" t="s">
        <v>140</v>
      </c>
      <c r="F25">
        <v>109</v>
      </c>
      <c r="G25">
        <v>250</v>
      </c>
      <c r="H25">
        <v>0</v>
      </c>
    </row>
    <row r="26" spans="1:8" x14ac:dyDescent="0.2">
      <c r="A26" t="s">
        <v>141</v>
      </c>
      <c r="B26" t="s">
        <v>142</v>
      </c>
      <c r="C26" t="s">
        <v>143</v>
      </c>
      <c r="D26">
        <v>50175</v>
      </c>
      <c r="E26" t="s">
        <v>144</v>
      </c>
      <c r="F26">
        <v>56</v>
      </c>
      <c r="G26">
        <v>300</v>
      </c>
      <c r="H26">
        <v>0</v>
      </c>
    </row>
    <row r="27" spans="1:8" x14ac:dyDescent="0.2">
      <c r="A27" t="s">
        <v>145</v>
      </c>
      <c r="B27" t="s">
        <v>146</v>
      </c>
      <c r="C27" t="s">
        <v>82</v>
      </c>
      <c r="D27">
        <v>50169</v>
      </c>
      <c r="E27" t="s">
        <v>147</v>
      </c>
      <c r="F27">
        <v>48</v>
      </c>
      <c r="G27">
        <v>0</v>
      </c>
      <c r="H27">
        <v>0</v>
      </c>
    </row>
    <row r="28" spans="1:8" x14ac:dyDescent="0.2">
      <c r="A28" t="s">
        <v>148</v>
      </c>
      <c r="B28" t="s">
        <v>149</v>
      </c>
      <c r="C28" t="s">
        <v>89</v>
      </c>
      <c r="D28">
        <v>100265</v>
      </c>
      <c r="E28" t="s">
        <v>150</v>
      </c>
      <c r="F28">
        <v>84</v>
      </c>
      <c r="G28">
        <v>600</v>
      </c>
      <c r="H28">
        <v>0</v>
      </c>
    </row>
    <row r="29" spans="1:8" x14ac:dyDescent="0.2">
      <c r="A29" t="s">
        <v>151</v>
      </c>
      <c r="B29" t="s">
        <v>152</v>
      </c>
      <c r="C29" t="s">
        <v>153</v>
      </c>
      <c r="D29">
        <v>50254</v>
      </c>
      <c r="E29" t="s">
        <v>154</v>
      </c>
      <c r="F29">
        <v>59</v>
      </c>
      <c r="G29">
        <v>600</v>
      </c>
      <c r="H29">
        <v>0</v>
      </c>
    </row>
    <row r="30" spans="1:8" x14ac:dyDescent="0.2">
      <c r="A30" t="s">
        <v>155</v>
      </c>
      <c r="B30" t="s">
        <v>156</v>
      </c>
      <c r="C30" t="s">
        <v>157</v>
      </c>
      <c r="D30">
        <v>50330</v>
      </c>
      <c r="E30" t="s">
        <v>158</v>
      </c>
      <c r="F30">
        <v>92</v>
      </c>
      <c r="G30">
        <v>450</v>
      </c>
      <c r="H30">
        <v>0</v>
      </c>
    </row>
    <row r="31" spans="1:8" x14ac:dyDescent="0.2">
      <c r="A31" t="s">
        <v>159</v>
      </c>
      <c r="B31" t="s">
        <v>160</v>
      </c>
      <c r="C31" t="s">
        <v>161</v>
      </c>
      <c r="D31">
        <v>50101</v>
      </c>
      <c r="E31" t="s">
        <v>162</v>
      </c>
      <c r="F31">
        <v>58</v>
      </c>
      <c r="G31">
        <v>0</v>
      </c>
      <c r="H31">
        <v>0</v>
      </c>
    </row>
    <row r="32" spans="1:8" x14ac:dyDescent="0.2">
      <c r="A32" t="s">
        <v>163</v>
      </c>
      <c r="B32" t="s">
        <v>164</v>
      </c>
      <c r="C32" t="s">
        <v>165</v>
      </c>
      <c r="D32">
        <v>38</v>
      </c>
      <c r="E32" t="s">
        <v>166</v>
      </c>
      <c r="F32">
        <v>121</v>
      </c>
      <c r="G32">
        <v>0</v>
      </c>
      <c r="H32">
        <v>0</v>
      </c>
    </row>
    <row r="33" spans="1:8" x14ac:dyDescent="0.2">
      <c r="A33" t="s">
        <v>167</v>
      </c>
      <c r="B33" t="s">
        <v>168</v>
      </c>
      <c r="C33" t="s">
        <v>169</v>
      </c>
      <c r="D33">
        <v>50401</v>
      </c>
      <c r="E33" t="s">
        <v>170</v>
      </c>
      <c r="F33">
        <v>1</v>
      </c>
      <c r="G33">
        <v>250</v>
      </c>
      <c r="H33">
        <v>0</v>
      </c>
    </row>
    <row r="34" spans="1:8" x14ac:dyDescent="0.2">
      <c r="A34" t="s">
        <v>171</v>
      </c>
      <c r="B34" t="s">
        <v>172</v>
      </c>
      <c r="C34" t="s">
        <v>173</v>
      </c>
      <c r="D34">
        <v>50302</v>
      </c>
      <c r="E34" t="s">
        <v>174</v>
      </c>
      <c r="F34">
        <v>14</v>
      </c>
      <c r="G34">
        <v>0</v>
      </c>
      <c r="H34">
        <v>0</v>
      </c>
    </row>
    <row r="35" spans="1:8" x14ac:dyDescent="0.2">
      <c r="A35" t="s">
        <v>175</v>
      </c>
      <c r="B35" t="s">
        <v>176</v>
      </c>
      <c r="C35" t="s">
        <v>177</v>
      </c>
      <c r="D35">
        <v>50419</v>
      </c>
      <c r="E35" t="s">
        <v>178</v>
      </c>
      <c r="F35">
        <v>35</v>
      </c>
      <c r="G35">
        <v>0</v>
      </c>
      <c r="H35">
        <v>0</v>
      </c>
    </row>
    <row r="36" spans="1:8" x14ac:dyDescent="0.2">
      <c r="A36" t="s">
        <v>179</v>
      </c>
      <c r="B36" t="s">
        <v>180</v>
      </c>
      <c r="C36" t="s">
        <v>181</v>
      </c>
      <c r="D36">
        <v>50257</v>
      </c>
      <c r="E36" t="s">
        <v>182</v>
      </c>
      <c r="F36">
        <v>65</v>
      </c>
      <c r="G36">
        <v>0</v>
      </c>
      <c r="H36">
        <v>0</v>
      </c>
    </row>
    <row r="37" spans="1:8" x14ac:dyDescent="0.2">
      <c r="A37" t="s">
        <v>183</v>
      </c>
      <c r="B37" t="s">
        <v>184</v>
      </c>
      <c r="C37" t="s">
        <v>185</v>
      </c>
      <c r="D37">
        <v>2</v>
      </c>
      <c r="E37" t="s">
        <v>186</v>
      </c>
      <c r="F37">
        <v>64</v>
      </c>
      <c r="G37">
        <v>0</v>
      </c>
      <c r="H37">
        <v>0</v>
      </c>
    </row>
    <row r="38" spans="1:8" x14ac:dyDescent="0.2">
      <c r="A38" t="s">
        <v>187</v>
      </c>
      <c r="B38" t="s">
        <v>188</v>
      </c>
      <c r="C38" t="s">
        <v>100</v>
      </c>
      <c r="D38">
        <v>58</v>
      </c>
      <c r="E38" t="s">
        <v>189</v>
      </c>
      <c r="F38">
        <v>76</v>
      </c>
      <c r="G38">
        <v>300</v>
      </c>
      <c r="H38">
        <v>0</v>
      </c>
    </row>
    <row r="39" spans="1:8" x14ac:dyDescent="0.2">
      <c r="A39" t="s">
        <v>190</v>
      </c>
      <c r="B39" t="s">
        <v>191</v>
      </c>
      <c r="C39" t="s">
        <v>192</v>
      </c>
      <c r="D39">
        <v>100191</v>
      </c>
      <c r="E39" t="s">
        <v>193</v>
      </c>
      <c r="F39">
        <v>10</v>
      </c>
      <c r="G39">
        <v>150</v>
      </c>
      <c r="H39">
        <v>1929.41</v>
      </c>
    </row>
    <row r="40" spans="1:8" x14ac:dyDescent="0.2">
      <c r="A40" t="s">
        <v>194</v>
      </c>
      <c r="B40" t="s">
        <v>195</v>
      </c>
      <c r="C40" t="s">
        <v>196</v>
      </c>
      <c r="D40">
        <v>100178</v>
      </c>
      <c r="E40" t="s">
        <v>197</v>
      </c>
      <c r="F40">
        <v>97</v>
      </c>
      <c r="G40">
        <v>0</v>
      </c>
      <c r="H40">
        <v>1821.75</v>
      </c>
    </row>
    <row r="41" spans="1:8" x14ac:dyDescent="0.2">
      <c r="A41" t="s">
        <v>198</v>
      </c>
      <c r="B41" t="s">
        <v>199</v>
      </c>
      <c r="C41" t="s">
        <v>200</v>
      </c>
      <c r="D41">
        <v>50446</v>
      </c>
      <c r="E41" t="s">
        <v>201</v>
      </c>
      <c r="F41">
        <v>86</v>
      </c>
      <c r="G41">
        <v>150</v>
      </c>
      <c r="H41">
        <v>2275.29</v>
      </c>
    </row>
    <row r="42" spans="1:8" x14ac:dyDescent="0.2">
      <c r="A42" t="s">
        <v>202</v>
      </c>
      <c r="B42" t="s">
        <v>203</v>
      </c>
      <c r="C42" t="s">
        <v>204</v>
      </c>
      <c r="D42">
        <v>100243</v>
      </c>
      <c r="E42" t="s">
        <v>205</v>
      </c>
      <c r="F42">
        <v>16</v>
      </c>
      <c r="G42">
        <v>0</v>
      </c>
      <c r="H42">
        <v>1691.63</v>
      </c>
    </row>
    <row r="43" spans="1:8" x14ac:dyDescent="0.2">
      <c r="A43" t="s">
        <v>206</v>
      </c>
      <c r="B43" t="s">
        <v>207</v>
      </c>
      <c r="C43" t="s">
        <v>208</v>
      </c>
      <c r="D43">
        <v>100203</v>
      </c>
      <c r="E43" t="s">
        <v>209</v>
      </c>
      <c r="F43">
        <v>51</v>
      </c>
      <c r="G43">
        <v>0</v>
      </c>
      <c r="H43">
        <v>1623.96</v>
      </c>
    </row>
    <row r="44" spans="1:8" x14ac:dyDescent="0.2">
      <c r="A44" t="s">
        <v>210</v>
      </c>
      <c r="B44" t="s">
        <v>211</v>
      </c>
      <c r="C44" t="s">
        <v>212</v>
      </c>
      <c r="D44">
        <v>100206</v>
      </c>
      <c r="E44" t="s">
        <v>213</v>
      </c>
      <c r="F44">
        <v>61</v>
      </c>
      <c r="G44">
        <v>150</v>
      </c>
      <c r="H44">
        <v>1780</v>
      </c>
    </row>
    <row r="45" spans="1:8" x14ac:dyDescent="0.2">
      <c r="A45" t="s">
        <v>214</v>
      </c>
      <c r="B45" t="s">
        <v>215</v>
      </c>
      <c r="C45" t="s">
        <v>216</v>
      </c>
      <c r="D45">
        <v>50151</v>
      </c>
      <c r="E45" t="s">
        <v>217</v>
      </c>
      <c r="F45">
        <v>87</v>
      </c>
      <c r="G45">
        <v>0</v>
      </c>
      <c r="H45">
        <v>0</v>
      </c>
    </row>
    <row r="46" spans="1:8" x14ac:dyDescent="0.2">
      <c r="A46" t="s">
        <v>218</v>
      </c>
      <c r="B46" t="s">
        <v>219</v>
      </c>
      <c r="C46" t="s">
        <v>220</v>
      </c>
      <c r="D46">
        <v>50221</v>
      </c>
      <c r="E46" t="s">
        <v>221</v>
      </c>
      <c r="F46">
        <v>103</v>
      </c>
      <c r="G46">
        <v>250</v>
      </c>
      <c r="H46">
        <v>2314.12</v>
      </c>
    </row>
    <row r="47" spans="1:8" x14ac:dyDescent="0.2">
      <c r="A47" t="s">
        <v>222</v>
      </c>
      <c r="B47" t="s">
        <v>223</v>
      </c>
      <c r="C47" t="s">
        <v>224</v>
      </c>
      <c r="D47">
        <v>63</v>
      </c>
      <c r="E47" t="s">
        <v>225</v>
      </c>
      <c r="F47">
        <v>20</v>
      </c>
      <c r="G47">
        <v>150</v>
      </c>
      <c r="H47">
        <v>1965.88</v>
      </c>
    </row>
    <row r="48" spans="1:8" x14ac:dyDescent="0.2">
      <c r="A48" t="s">
        <v>226</v>
      </c>
      <c r="B48" t="s">
        <v>227</v>
      </c>
      <c r="C48" t="s">
        <v>228</v>
      </c>
      <c r="D48">
        <v>91</v>
      </c>
      <c r="E48" t="s">
        <v>229</v>
      </c>
      <c r="F48">
        <v>55</v>
      </c>
      <c r="G48">
        <v>325</v>
      </c>
      <c r="H48">
        <v>1864.71</v>
      </c>
    </row>
    <row r="49" spans="1:8" x14ac:dyDescent="0.2">
      <c r="A49" t="s">
        <v>230</v>
      </c>
      <c r="B49" t="s">
        <v>231</v>
      </c>
      <c r="C49" t="s">
        <v>232</v>
      </c>
      <c r="D49">
        <v>50246</v>
      </c>
      <c r="E49" t="s">
        <v>233</v>
      </c>
      <c r="F49">
        <v>31</v>
      </c>
      <c r="G49">
        <v>250</v>
      </c>
      <c r="H49">
        <v>2507.06</v>
      </c>
    </row>
    <row r="50" spans="1:8" x14ac:dyDescent="0.2">
      <c r="A50" t="s">
        <v>234</v>
      </c>
      <c r="B50" t="s">
        <v>235</v>
      </c>
      <c r="C50" t="s">
        <v>236</v>
      </c>
      <c r="D50">
        <v>50361</v>
      </c>
      <c r="E50" t="s">
        <v>237</v>
      </c>
      <c r="F50">
        <v>36</v>
      </c>
      <c r="G50">
        <v>450</v>
      </c>
      <c r="H50">
        <v>4600</v>
      </c>
    </row>
    <row r="51" spans="1:8" x14ac:dyDescent="0.2">
      <c r="A51" t="s">
        <v>238</v>
      </c>
      <c r="B51" t="s">
        <v>239</v>
      </c>
      <c r="C51" t="s">
        <v>240</v>
      </c>
      <c r="D51">
        <v>50167</v>
      </c>
      <c r="E51" t="s">
        <v>241</v>
      </c>
      <c r="F51">
        <v>73</v>
      </c>
      <c r="G51">
        <v>0</v>
      </c>
      <c r="H51">
        <v>0</v>
      </c>
    </row>
    <row r="52" spans="1:8" x14ac:dyDescent="0.2">
      <c r="A52" t="s">
        <v>242</v>
      </c>
      <c r="B52" t="s">
        <v>243</v>
      </c>
      <c r="C52" t="s">
        <v>244</v>
      </c>
      <c r="D52">
        <v>50143</v>
      </c>
      <c r="E52" t="s">
        <v>245</v>
      </c>
      <c r="F52">
        <v>8</v>
      </c>
      <c r="G52">
        <v>250</v>
      </c>
      <c r="H52">
        <v>1900</v>
      </c>
    </row>
    <row r="53" spans="1:8" x14ac:dyDescent="0.2">
      <c r="A53" t="s">
        <v>246</v>
      </c>
      <c r="B53" t="s">
        <v>247</v>
      </c>
      <c r="C53" t="s">
        <v>248</v>
      </c>
      <c r="D53">
        <v>50172</v>
      </c>
      <c r="E53" t="s">
        <v>249</v>
      </c>
      <c r="F53">
        <v>96</v>
      </c>
      <c r="G53">
        <v>300</v>
      </c>
      <c r="H53">
        <v>3860</v>
      </c>
    </row>
    <row r="54" spans="1:8" x14ac:dyDescent="0.2">
      <c r="A54" t="s">
        <v>250</v>
      </c>
      <c r="B54" t="s">
        <v>251</v>
      </c>
      <c r="C54" t="s">
        <v>252</v>
      </c>
      <c r="D54">
        <v>50282</v>
      </c>
      <c r="E54" t="s">
        <v>253</v>
      </c>
      <c r="F54">
        <v>70</v>
      </c>
      <c r="G54">
        <v>150</v>
      </c>
      <c r="H54">
        <v>2295.29</v>
      </c>
    </row>
    <row r="55" spans="1:8" x14ac:dyDescent="0.2">
      <c r="A55" t="s">
        <v>254</v>
      </c>
      <c r="B55" t="s">
        <v>255</v>
      </c>
      <c r="C55" t="s">
        <v>256</v>
      </c>
      <c r="D55">
        <v>50019</v>
      </c>
      <c r="E55" t="s">
        <v>257</v>
      </c>
      <c r="F55">
        <v>53</v>
      </c>
      <c r="G55">
        <v>400</v>
      </c>
      <c r="H55">
        <v>2356.4699999999998</v>
      </c>
    </row>
    <row r="56" spans="1:8" x14ac:dyDescent="0.2">
      <c r="A56" t="s">
        <v>258</v>
      </c>
      <c r="B56" t="s">
        <v>259</v>
      </c>
      <c r="C56" t="s">
        <v>260</v>
      </c>
      <c r="D56">
        <v>50201</v>
      </c>
      <c r="E56" t="s">
        <v>261</v>
      </c>
      <c r="F56">
        <v>25</v>
      </c>
      <c r="G56">
        <v>250</v>
      </c>
      <c r="H56">
        <v>1714.12</v>
      </c>
    </row>
    <row r="57" spans="1:8" x14ac:dyDescent="0.2">
      <c r="A57" t="s">
        <v>262</v>
      </c>
      <c r="B57" t="s">
        <v>263</v>
      </c>
      <c r="C57" t="s">
        <v>264</v>
      </c>
      <c r="D57">
        <v>56</v>
      </c>
      <c r="E57" t="s">
        <v>265</v>
      </c>
      <c r="F57">
        <v>21</v>
      </c>
      <c r="G57">
        <v>0</v>
      </c>
      <c r="H57">
        <v>0</v>
      </c>
    </row>
    <row r="58" spans="1:8" x14ac:dyDescent="0.2">
      <c r="A58" t="s">
        <v>266</v>
      </c>
      <c r="B58" t="s">
        <v>267</v>
      </c>
      <c r="C58" t="s">
        <v>144</v>
      </c>
      <c r="D58">
        <v>48</v>
      </c>
      <c r="E58" t="s">
        <v>268</v>
      </c>
      <c r="F58">
        <v>74</v>
      </c>
      <c r="G58">
        <v>0</v>
      </c>
      <c r="H58">
        <v>0</v>
      </c>
    </row>
    <row r="59" spans="1:8" x14ac:dyDescent="0.2">
      <c r="A59" t="s">
        <v>269</v>
      </c>
      <c r="B59" t="s">
        <v>270</v>
      </c>
      <c r="C59" t="s">
        <v>271</v>
      </c>
      <c r="D59">
        <v>50294</v>
      </c>
      <c r="E59" t="s">
        <v>272</v>
      </c>
      <c r="F59">
        <v>88</v>
      </c>
      <c r="G59">
        <v>150</v>
      </c>
      <c r="H59">
        <v>2111.7600000000002</v>
      </c>
    </row>
    <row r="60" spans="1:8" x14ac:dyDescent="0.2">
      <c r="A60" t="s">
        <v>273</v>
      </c>
      <c r="B60" t="s">
        <v>274</v>
      </c>
      <c r="C60" t="s">
        <v>275</v>
      </c>
      <c r="D60">
        <v>50214</v>
      </c>
      <c r="E60" t="s">
        <v>276</v>
      </c>
      <c r="F60">
        <v>122</v>
      </c>
      <c r="G60">
        <v>0</v>
      </c>
      <c r="H60">
        <v>2810.7</v>
      </c>
    </row>
    <row r="61" spans="1:8" x14ac:dyDescent="0.2">
      <c r="A61" t="s">
        <v>277</v>
      </c>
      <c r="B61" t="s">
        <v>278</v>
      </c>
      <c r="C61" t="s">
        <v>279</v>
      </c>
      <c r="D61">
        <v>100213</v>
      </c>
      <c r="E61" t="s">
        <v>280</v>
      </c>
      <c r="F61">
        <v>99</v>
      </c>
      <c r="G61">
        <v>0</v>
      </c>
      <c r="H61">
        <v>2498.54</v>
      </c>
    </row>
    <row r="62" spans="1:8" x14ac:dyDescent="0.2">
      <c r="A62" t="s">
        <v>281</v>
      </c>
      <c r="B62" t="s">
        <v>282</v>
      </c>
      <c r="C62" t="s">
        <v>283</v>
      </c>
      <c r="D62">
        <v>50427</v>
      </c>
      <c r="E62" t="s">
        <v>284</v>
      </c>
      <c r="F62">
        <v>111</v>
      </c>
      <c r="G62">
        <v>150</v>
      </c>
      <c r="H62">
        <v>1442.35</v>
      </c>
    </row>
    <row r="63" spans="1:8" x14ac:dyDescent="0.2">
      <c r="A63" t="s">
        <v>285</v>
      </c>
      <c r="B63" t="s">
        <v>286</v>
      </c>
      <c r="C63" t="s">
        <v>287</v>
      </c>
      <c r="D63">
        <v>50231</v>
      </c>
      <c r="E63" t="s">
        <v>288</v>
      </c>
      <c r="F63">
        <v>44</v>
      </c>
      <c r="G63">
        <v>450</v>
      </c>
      <c r="H63">
        <v>0</v>
      </c>
    </row>
    <row r="64" spans="1:8" x14ac:dyDescent="0.2">
      <c r="A64" t="s">
        <v>289</v>
      </c>
      <c r="B64" t="s">
        <v>290</v>
      </c>
      <c r="C64" t="s">
        <v>291</v>
      </c>
      <c r="D64">
        <v>50230</v>
      </c>
      <c r="E64" t="s">
        <v>292</v>
      </c>
      <c r="F64">
        <v>4</v>
      </c>
      <c r="G64">
        <v>0</v>
      </c>
      <c r="H64">
        <v>0</v>
      </c>
    </row>
    <row r="65" spans="1:8" x14ac:dyDescent="0.2">
      <c r="A65" t="s">
        <v>293</v>
      </c>
      <c r="B65" t="s">
        <v>294</v>
      </c>
      <c r="C65" t="s">
        <v>295</v>
      </c>
      <c r="D65">
        <v>50263</v>
      </c>
      <c r="E65" t="s">
        <v>296</v>
      </c>
      <c r="F65">
        <v>90</v>
      </c>
      <c r="G65">
        <v>0</v>
      </c>
      <c r="H65">
        <v>0</v>
      </c>
    </row>
    <row r="66" spans="1:8" x14ac:dyDescent="0.2">
      <c r="A66" t="s">
        <v>297</v>
      </c>
      <c r="B66" t="s">
        <v>298</v>
      </c>
      <c r="C66" t="s">
        <v>299</v>
      </c>
      <c r="D66">
        <v>50300</v>
      </c>
      <c r="E66" t="s">
        <v>300</v>
      </c>
      <c r="F66">
        <v>32</v>
      </c>
      <c r="G66">
        <v>0</v>
      </c>
      <c r="H66">
        <v>0</v>
      </c>
    </row>
    <row r="67" spans="1:8" x14ac:dyDescent="0.2">
      <c r="A67" t="s">
        <v>301</v>
      </c>
      <c r="B67" t="s">
        <v>302</v>
      </c>
      <c r="C67" t="s">
        <v>303</v>
      </c>
      <c r="D67">
        <v>50247</v>
      </c>
      <c r="E67" t="s">
        <v>304</v>
      </c>
      <c r="F67">
        <v>40</v>
      </c>
      <c r="G67">
        <v>0</v>
      </c>
      <c r="H67">
        <v>2909.6</v>
      </c>
    </row>
    <row r="68" spans="1:8" x14ac:dyDescent="0.2">
      <c r="A68" t="s">
        <v>305</v>
      </c>
      <c r="B68" t="s">
        <v>306</v>
      </c>
      <c r="C68" t="s">
        <v>307</v>
      </c>
      <c r="D68">
        <v>50203</v>
      </c>
      <c r="E68" t="s">
        <v>308</v>
      </c>
      <c r="F68">
        <v>7</v>
      </c>
      <c r="G68">
        <v>0</v>
      </c>
      <c r="H68">
        <v>2165.2600000000002</v>
      </c>
    </row>
    <row r="69" spans="1:8" x14ac:dyDescent="0.2">
      <c r="A69" t="s">
        <v>309</v>
      </c>
      <c r="B69" t="s">
        <v>310</v>
      </c>
      <c r="C69" t="s">
        <v>311</v>
      </c>
      <c r="D69">
        <v>50208</v>
      </c>
      <c r="E69" t="s">
        <v>312</v>
      </c>
      <c r="F69">
        <v>37</v>
      </c>
      <c r="G69">
        <v>150</v>
      </c>
      <c r="H69">
        <v>1763.53</v>
      </c>
    </row>
    <row r="70" spans="1:8" x14ac:dyDescent="0.2">
      <c r="A70" t="s">
        <v>313</v>
      </c>
      <c r="B70" t="s">
        <v>314</v>
      </c>
      <c r="C70" t="s">
        <v>315</v>
      </c>
      <c r="D70">
        <v>50225</v>
      </c>
      <c r="E70" t="s">
        <v>316</v>
      </c>
      <c r="F70">
        <v>50</v>
      </c>
      <c r="G70">
        <v>0</v>
      </c>
      <c r="H70">
        <v>2850</v>
      </c>
    </row>
    <row r="71" spans="1:8" x14ac:dyDescent="0.2">
      <c r="A71" t="s">
        <v>317</v>
      </c>
      <c r="B71" t="s">
        <v>318</v>
      </c>
      <c r="C71" t="s">
        <v>319</v>
      </c>
      <c r="D71">
        <v>50226</v>
      </c>
      <c r="E71" t="s">
        <v>320</v>
      </c>
      <c r="F71">
        <v>69</v>
      </c>
      <c r="G71">
        <v>150</v>
      </c>
      <c r="H71">
        <v>2143.5300000000002</v>
      </c>
    </row>
    <row r="72" spans="1:8" x14ac:dyDescent="0.2">
      <c r="A72" t="s">
        <v>321</v>
      </c>
      <c r="B72" t="s">
        <v>322</v>
      </c>
      <c r="C72" t="s">
        <v>323</v>
      </c>
      <c r="D72">
        <v>50237</v>
      </c>
      <c r="E72" t="s">
        <v>324</v>
      </c>
      <c r="F72">
        <v>107</v>
      </c>
      <c r="G72">
        <v>150</v>
      </c>
      <c r="H72">
        <v>2509.41</v>
      </c>
    </row>
    <row r="73" spans="1:8" x14ac:dyDescent="0.2">
      <c r="A73" t="s">
        <v>325</v>
      </c>
      <c r="B73" t="s">
        <v>326</v>
      </c>
      <c r="C73" t="s">
        <v>327</v>
      </c>
      <c r="D73">
        <v>50243</v>
      </c>
      <c r="E73" t="s">
        <v>328</v>
      </c>
      <c r="F73">
        <v>49</v>
      </c>
      <c r="G73">
        <v>0</v>
      </c>
      <c r="H73">
        <v>0</v>
      </c>
    </row>
    <row r="74" spans="1:8" x14ac:dyDescent="0.2">
      <c r="A74" t="s">
        <v>329</v>
      </c>
      <c r="B74" t="s">
        <v>330</v>
      </c>
      <c r="C74" t="s">
        <v>331</v>
      </c>
      <c r="D74">
        <v>50211</v>
      </c>
      <c r="E74" t="s">
        <v>332</v>
      </c>
      <c r="F74">
        <v>100</v>
      </c>
      <c r="G74">
        <v>0</v>
      </c>
      <c r="H74">
        <v>1552.29</v>
      </c>
    </row>
    <row r="75" spans="1:8" x14ac:dyDescent="0.2">
      <c r="A75" t="s">
        <v>333</v>
      </c>
      <c r="B75" t="s">
        <v>334</v>
      </c>
      <c r="C75" t="s">
        <v>335</v>
      </c>
      <c r="D75">
        <v>50242</v>
      </c>
      <c r="E75" t="s">
        <v>336</v>
      </c>
      <c r="F75">
        <v>72</v>
      </c>
      <c r="G75">
        <v>450</v>
      </c>
      <c r="H75">
        <v>4850</v>
      </c>
    </row>
    <row r="76" spans="1:8" x14ac:dyDescent="0.2">
      <c r="A76" t="s">
        <v>337</v>
      </c>
      <c r="B76" t="s">
        <v>338</v>
      </c>
      <c r="C76" t="s">
        <v>339</v>
      </c>
      <c r="D76">
        <v>50209</v>
      </c>
      <c r="E76" t="s">
        <v>340</v>
      </c>
      <c r="F76">
        <v>68</v>
      </c>
      <c r="G76">
        <v>0</v>
      </c>
      <c r="H76">
        <v>2498.54</v>
      </c>
    </row>
    <row r="77" spans="1:8" x14ac:dyDescent="0.2">
      <c r="A77" t="s">
        <v>341</v>
      </c>
      <c r="B77" t="s">
        <v>342</v>
      </c>
      <c r="C77" t="s">
        <v>343</v>
      </c>
      <c r="D77">
        <v>50273</v>
      </c>
      <c r="E77" t="s">
        <v>344</v>
      </c>
      <c r="F77">
        <v>43</v>
      </c>
      <c r="G77">
        <v>150</v>
      </c>
      <c r="H77">
        <v>2054.12</v>
      </c>
    </row>
    <row r="78" spans="1:8" x14ac:dyDescent="0.2">
      <c r="A78" t="s">
        <v>345</v>
      </c>
      <c r="B78" t="s">
        <v>346</v>
      </c>
      <c r="C78" t="s">
        <v>347</v>
      </c>
      <c r="D78">
        <v>34</v>
      </c>
      <c r="E78" t="s">
        <v>348</v>
      </c>
      <c r="F78">
        <v>105</v>
      </c>
      <c r="G78">
        <v>250</v>
      </c>
      <c r="H78">
        <v>1700</v>
      </c>
    </row>
    <row r="79" spans="1:8" x14ac:dyDescent="0.2">
      <c r="A79" t="s">
        <v>349</v>
      </c>
      <c r="B79" t="s">
        <v>350</v>
      </c>
      <c r="C79" t="s">
        <v>351</v>
      </c>
      <c r="D79">
        <v>100233</v>
      </c>
      <c r="E79" t="s">
        <v>352</v>
      </c>
      <c r="F79">
        <v>104</v>
      </c>
      <c r="G79">
        <v>0</v>
      </c>
      <c r="H79">
        <v>2841.93</v>
      </c>
    </row>
    <row r="80" spans="1:8" x14ac:dyDescent="0.2">
      <c r="A80" t="s">
        <v>353</v>
      </c>
      <c r="B80" t="s">
        <v>354</v>
      </c>
      <c r="C80" t="s">
        <v>355</v>
      </c>
      <c r="D80">
        <v>50375</v>
      </c>
      <c r="E80" t="s">
        <v>356</v>
      </c>
      <c r="F80">
        <v>78</v>
      </c>
      <c r="G80">
        <v>0</v>
      </c>
      <c r="H80">
        <v>3608.79</v>
      </c>
    </row>
    <row r="81" spans="1:8" x14ac:dyDescent="0.2">
      <c r="A81" t="s">
        <v>357</v>
      </c>
      <c r="B81" t="s">
        <v>358</v>
      </c>
      <c r="C81" t="s">
        <v>359</v>
      </c>
      <c r="D81">
        <v>50431</v>
      </c>
      <c r="E81" t="s">
        <v>360</v>
      </c>
      <c r="F81">
        <v>13</v>
      </c>
      <c r="G81">
        <v>150</v>
      </c>
      <c r="H81">
        <v>1580</v>
      </c>
    </row>
    <row r="82" spans="1:8" x14ac:dyDescent="0.2">
      <c r="A82" t="s">
        <v>361</v>
      </c>
      <c r="B82" t="s">
        <v>362</v>
      </c>
      <c r="C82" t="s">
        <v>363</v>
      </c>
      <c r="D82">
        <v>100135</v>
      </c>
      <c r="E82" t="s">
        <v>364</v>
      </c>
      <c r="F82">
        <v>11</v>
      </c>
      <c r="G82">
        <v>150</v>
      </c>
      <c r="H82">
        <v>1648.24</v>
      </c>
    </row>
    <row r="83" spans="1:8" x14ac:dyDescent="0.2">
      <c r="A83" t="s">
        <v>365</v>
      </c>
      <c r="B83" t="s">
        <v>366</v>
      </c>
      <c r="C83" t="s">
        <v>367</v>
      </c>
      <c r="D83">
        <v>50192</v>
      </c>
      <c r="E83" t="s">
        <v>368</v>
      </c>
      <c r="F83">
        <v>93</v>
      </c>
      <c r="G83">
        <v>150</v>
      </c>
      <c r="H83">
        <v>2157.65</v>
      </c>
    </row>
    <row r="84" spans="1:8" x14ac:dyDescent="0.2">
      <c r="A84" t="s">
        <v>369</v>
      </c>
      <c r="B84" t="s">
        <v>370</v>
      </c>
      <c r="C84" t="s">
        <v>371</v>
      </c>
      <c r="D84">
        <v>50020</v>
      </c>
      <c r="E84" t="s">
        <v>372</v>
      </c>
      <c r="F84">
        <v>123</v>
      </c>
      <c r="G84">
        <v>0</v>
      </c>
      <c r="H84">
        <v>0</v>
      </c>
    </row>
    <row r="85" spans="1:8" x14ac:dyDescent="0.2">
      <c r="A85" t="s">
        <v>373</v>
      </c>
      <c r="B85" t="s">
        <v>374</v>
      </c>
      <c r="C85" t="s">
        <v>375</v>
      </c>
      <c r="D85">
        <v>100133</v>
      </c>
      <c r="E85" t="s">
        <v>376</v>
      </c>
      <c r="F85">
        <v>34</v>
      </c>
      <c r="G85">
        <v>150</v>
      </c>
      <c r="H85">
        <v>1768.24</v>
      </c>
    </row>
    <row r="86" spans="1:8" x14ac:dyDescent="0.2">
      <c r="A86" t="s">
        <v>377</v>
      </c>
      <c r="B86" t="s">
        <v>378</v>
      </c>
      <c r="C86" t="s">
        <v>379</v>
      </c>
      <c r="D86">
        <v>100238</v>
      </c>
      <c r="E86" t="s">
        <v>380</v>
      </c>
      <c r="F86">
        <v>113</v>
      </c>
      <c r="G86">
        <v>0</v>
      </c>
      <c r="H86">
        <v>3789.24</v>
      </c>
    </row>
    <row r="87" spans="1:8" x14ac:dyDescent="0.2">
      <c r="A87" t="s">
        <v>381</v>
      </c>
      <c r="B87" t="s">
        <v>382</v>
      </c>
      <c r="C87" t="s">
        <v>383</v>
      </c>
      <c r="D87">
        <v>50186</v>
      </c>
      <c r="E87" t="s">
        <v>384</v>
      </c>
      <c r="F87">
        <v>26</v>
      </c>
      <c r="G87">
        <v>150</v>
      </c>
      <c r="H87">
        <v>2018.82</v>
      </c>
    </row>
    <row r="88" spans="1:8" x14ac:dyDescent="0.2">
      <c r="A88" t="s">
        <v>385</v>
      </c>
      <c r="B88" t="s">
        <v>386</v>
      </c>
      <c r="C88" t="s">
        <v>387</v>
      </c>
      <c r="D88">
        <v>50236</v>
      </c>
      <c r="E88" t="s">
        <v>388</v>
      </c>
      <c r="F88">
        <v>106</v>
      </c>
      <c r="G88">
        <v>150</v>
      </c>
      <c r="H88">
        <v>2510.59</v>
      </c>
    </row>
    <row r="89" spans="1:8" x14ac:dyDescent="0.2">
      <c r="A89" t="s">
        <v>389</v>
      </c>
      <c r="B89" t="s">
        <v>390</v>
      </c>
      <c r="C89" t="s">
        <v>391</v>
      </c>
      <c r="D89">
        <v>50429</v>
      </c>
      <c r="E89" t="s">
        <v>392</v>
      </c>
      <c r="F89">
        <v>112</v>
      </c>
      <c r="G89">
        <v>0</v>
      </c>
      <c r="H89">
        <v>2750</v>
      </c>
    </row>
    <row r="90" spans="1:8" x14ac:dyDescent="0.2">
      <c r="A90" t="s">
        <v>393</v>
      </c>
      <c r="B90" t="s">
        <v>394</v>
      </c>
      <c r="C90" t="s">
        <v>395</v>
      </c>
      <c r="D90">
        <v>50139</v>
      </c>
      <c r="E90" t="s">
        <v>396</v>
      </c>
      <c r="F90">
        <v>124</v>
      </c>
      <c r="G90">
        <v>400</v>
      </c>
      <c r="H90">
        <v>3300</v>
      </c>
    </row>
    <row r="91" spans="1:8" x14ac:dyDescent="0.2">
      <c r="A91" t="s">
        <v>397</v>
      </c>
      <c r="B91" t="s">
        <v>398</v>
      </c>
      <c r="C91" t="s">
        <v>399</v>
      </c>
      <c r="D91">
        <v>50159</v>
      </c>
      <c r="E91" t="s">
        <v>400</v>
      </c>
      <c r="F91">
        <v>110</v>
      </c>
      <c r="G91">
        <v>0</v>
      </c>
      <c r="H91">
        <v>0</v>
      </c>
    </row>
    <row r="92" spans="1:8" x14ac:dyDescent="0.2">
      <c r="A92" t="s">
        <v>401</v>
      </c>
      <c r="B92" t="s">
        <v>402</v>
      </c>
      <c r="C92" t="s">
        <v>403</v>
      </c>
      <c r="D92">
        <v>50435</v>
      </c>
      <c r="E92" t="s">
        <v>404</v>
      </c>
      <c r="F92">
        <v>119</v>
      </c>
      <c r="G92">
        <v>400</v>
      </c>
      <c r="H92">
        <v>6140.29</v>
      </c>
    </row>
    <row r="93" spans="1:8" x14ac:dyDescent="0.2">
      <c r="A93" t="s">
        <v>405</v>
      </c>
      <c r="B93" t="s">
        <v>406</v>
      </c>
      <c r="C93" t="s">
        <v>407</v>
      </c>
      <c r="D93">
        <v>95</v>
      </c>
      <c r="E93" t="s">
        <v>408</v>
      </c>
      <c r="F93">
        <v>67</v>
      </c>
      <c r="G93">
        <v>0</v>
      </c>
      <c r="H93">
        <v>1734.98</v>
      </c>
    </row>
    <row r="94" spans="1:8" x14ac:dyDescent="0.2">
      <c r="A94" t="s">
        <v>409</v>
      </c>
      <c r="B94" t="s">
        <v>410</v>
      </c>
      <c r="C94" t="s">
        <v>411</v>
      </c>
      <c r="D94">
        <v>50218</v>
      </c>
      <c r="E94" t="s">
        <v>412</v>
      </c>
      <c r="F94">
        <v>62</v>
      </c>
      <c r="G94">
        <v>200</v>
      </c>
      <c r="H94">
        <v>0</v>
      </c>
    </row>
    <row r="95" spans="1:8" x14ac:dyDescent="0.2">
      <c r="A95" t="s">
        <v>413</v>
      </c>
      <c r="B95" t="s">
        <v>414</v>
      </c>
      <c r="C95" t="s">
        <v>415</v>
      </c>
      <c r="D95">
        <v>50178</v>
      </c>
      <c r="E95" t="s">
        <v>416</v>
      </c>
      <c r="F95">
        <v>17</v>
      </c>
      <c r="G95">
        <v>0</v>
      </c>
      <c r="H95">
        <v>6140.29</v>
      </c>
    </row>
    <row r="96" spans="1:8" x14ac:dyDescent="0.2">
      <c r="A96" t="s">
        <v>417</v>
      </c>
      <c r="B96" t="s">
        <v>418</v>
      </c>
      <c r="C96" t="s">
        <v>419</v>
      </c>
      <c r="D96">
        <v>17</v>
      </c>
      <c r="E96" t="s">
        <v>420</v>
      </c>
      <c r="F96">
        <v>118</v>
      </c>
      <c r="G96">
        <v>0</v>
      </c>
      <c r="H96">
        <v>2446.35</v>
      </c>
    </row>
    <row r="97" spans="1:8" x14ac:dyDescent="0.2">
      <c r="A97" t="s">
        <v>421</v>
      </c>
      <c r="B97" t="s">
        <v>422</v>
      </c>
      <c r="C97" t="s">
        <v>423</v>
      </c>
      <c r="D97">
        <v>83</v>
      </c>
      <c r="E97" t="s">
        <v>424</v>
      </c>
      <c r="F97">
        <v>47</v>
      </c>
      <c r="G97">
        <v>0</v>
      </c>
      <c r="H97">
        <v>4755.4399999999996</v>
      </c>
    </row>
    <row r="98" spans="1:8" x14ac:dyDescent="0.2">
      <c r="A98" t="s">
        <v>425</v>
      </c>
      <c r="B98" t="s">
        <v>426</v>
      </c>
      <c r="C98" t="s">
        <v>427</v>
      </c>
      <c r="D98">
        <v>50293</v>
      </c>
      <c r="E98" t="s">
        <v>428</v>
      </c>
      <c r="F98">
        <v>33</v>
      </c>
      <c r="G98">
        <v>0</v>
      </c>
      <c r="H98">
        <v>1723.44</v>
      </c>
    </row>
    <row r="99" spans="1:8" x14ac:dyDescent="0.2">
      <c r="A99" t="s">
        <v>429</v>
      </c>
      <c r="B99" t="s">
        <v>430</v>
      </c>
      <c r="C99" t="s">
        <v>431</v>
      </c>
      <c r="D99">
        <v>50268</v>
      </c>
      <c r="E99" t="s">
        <v>432</v>
      </c>
      <c r="F99">
        <v>30</v>
      </c>
      <c r="G99">
        <v>0</v>
      </c>
      <c r="H99">
        <v>1993.32</v>
      </c>
    </row>
    <row r="100" spans="1:8" x14ac:dyDescent="0.2">
      <c r="A100" t="s">
        <v>433</v>
      </c>
      <c r="B100" t="s">
        <v>434</v>
      </c>
      <c r="C100" t="s">
        <v>435</v>
      </c>
      <c r="D100">
        <v>50181</v>
      </c>
      <c r="E100" t="s">
        <v>436</v>
      </c>
      <c r="F100">
        <v>101</v>
      </c>
      <c r="G100">
        <v>0</v>
      </c>
      <c r="H100">
        <v>2253.77</v>
      </c>
    </row>
    <row r="101" spans="1:8" x14ac:dyDescent="0.2">
      <c r="A101" t="s">
        <v>437</v>
      </c>
      <c r="B101" t="s">
        <v>438</v>
      </c>
      <c r="C101" t="s">
        <v>439</v>
      </c>
      <c r="D101">
        <v>37</v>
      </c>
      <c r="E101" t="s">
        <v>440</v>
      </c>
      <c r="F101">
        <v>66</v>
      </c>
      <c r="G101">
        <v>150</v>
      </c>
      <c r="H101">
        <v>2192.94</v>
      </c>
    </row>
    <row r="102" spans="1:8" x14ac:dyDescent="0.2">
      <c r="A102" t="s">
        <v>441</v>
      </c>
      <c r="B102" t="s">
        <v>442</v>
      </c>
      <c r="C102" t="s">
        <v>443</v>
      </c>
      <c r="D102">
        <v>50286</v>
      </c>
      <c r="E102" t="s">
        <v>444</v>
      </c>
      <c r="F102">
        <v>116</v>
      </c>
      <c r="G102">
        <v>300</v>
      </c>
      <c r="H102">
        <v>2446.35</v>
      </c>
    </row>
    <row r="103" spans="1:8" x14ac:dyDescent="0.2">
      <c r="A103" t="s">
        <v>445</v>
      </c>
      <c r="B103" t="s">
        <v>446</v>
      </c>
      <c r="C103" t="s">
        <v>447</v>
      </c>
      <c r="D103">
        <v>100137</v>
      </c>
      <c r="E103" t="s">
        <v>448</v>
      </c>
      <c r="F103">
        <v>79</v>
      </c>
      <c r="G103">
        <v>0</v>
      </c>
      <c r="H103">
        <v>2253.77</v>
      </c>
    </row>
    <row r="104" spans="1:8" x14ac:dyDescent="0.2">
      <c r="A104" t="s">
        <v>449</v>
      </c>
      <c r="B104" t="s">
        <v>450</v>
      </c>
      <c r="C104" t="s">
        <v>451</v>
      </c>
      <c r="D104">
        <v>50267</v>
      </c>
      <c r="E104" t="s">
        <v>452</v>
      </c>
      <c r="F104">
        <v>5</v>
      </c>
      <c r="G104">
        <v>0</v>
      </c>
      <c r="H104">
        <v>2602.5</v>
      </c>
    </row>
    <row r="105" spans="1:8" x14ac:dyDescent="0.2">
      <c r="A105" t="s">
        <v>453</v>
      </c>
      <c r="B105" t="s">
        <v>454</v>
      </c>
      <c r="C105" t="s">
        <v>455</v>
      </c>
      <c r="D105">
        <v>100109</v>
      </c>
      <c r="E105" t="s">
        <v>456</v>
      </c>
      <c r="F105">
        <v>29</v>
      </c>
      <c r="G105">
        <v>0</v>
      </c>
      <c r="H105">
        <v>3426.56</v>
      </c>
    </row>
    <row r="106" spans="1:8" x14ac:dyDescent="0.2">
      <c r="A106" t="s">
        <v>457</v>
      </c>
      <c r="B106" t="s">
        <v>458</v>
      </c>
      <c r="C106" t="s">
        <v>459</v>
      </c>
      <c r="D106">
        <v>51</v>
      </c>
      <c r="E106" t="s">
        <v>460</v>
      </c>
      <c r="F106">
        <v>89</v>
      </c>
      <c r="G106">
        <v>0</v>
      </c>
      <c r="H106">
        <v>0</v>
      </c>
    </row>
    <row r="107" spans="1:8" x14ac:dyDescent="0.2">
      <c r="A107" t="s">
        <v>461</v>
      </c>
      <c r="B107" t="s">
        <v>462</v>
      </c>
      <c r="C107" t="s">
        <v>463</v>
      </c>
      <c r="D107">
        <v>50216</v>
      </c>
      <c r="E107" t="s">
        <v>464</v>
      </c>
      <c r="F107">
        <v>75</v>
      </c>
      <c r="G107">
        <v>300</v>
      </c>
      <c r="H107">
        <v>2450</v>
      </c>
    </row>
    <row r="108" spans="1:8" x14ac:dyDescent="0.2">
      <c r="A108" t="s">
        <v>465</v>
      </c>
      <c r="B108" t="s">
        <v>466</v>
      </c>
      <c r="C108" t="s">
        <v>467</v>
      </c>
      <c r="D108">
        <v>100142</v>
      </c>
      <c r="E108" t="s">
        <v>468</v>
      </c>
      <c r="F108">
        <v>39</v>
      </c>
      <c r="G108">
        <v>150</v>
      </c>
      <c r="H108">
        <v>2052.94</v>
      </c>
    </row>
    <row r="109" spans="1:8" x14ac:dyDescent="0.2">
      <c r="A109" t="s">
        <v>469</v>
      </c>
      <c r="B109" t="s">
        <v>470</v>
      </c>
      <c r="C109" t="s">
        <v>471</v>
      </c>
      <c r="D109">
        <v>100195</v>
      </c>
      <c r="E109" t="s">
        <v>472</v>
      </c>
      <c r="F109">
        <v>23</v>
      </c>
      <c r="G109">
        <v>0</v>
      </c>
      <c r="H109">
        <v>3643.5</v>
      </c>
    </row>
    <row r="110" spans="1:8" x14ac:dyDescent="0.2">
      <c r="A110" t="s">
        <v>473</v>
      </c>
      <c r="B110" t="s">
        <v>474</v>
      </c>
      <c r="C110" t="s">
        <v>178</v>
      </c>
      <c r="D110">
        <v>50367</v>
      </c>
      <c r="E110" t="s">
        <v>475</v>
      </c>
      <c r="F110">
        <v>102</v>
      </c>
      <c r="G110">
        <v>150</v>
      </c>
      <c r="H110">
        <v>1702.35</v>
      </c>
    </row>
    <row r="111" spans="1:8" x14ac:dyDescent="0.2">
      <c r="A111" t="s">
        <v>476</v>
      </c>
      <c r="B111" t="s">
        <v>477</v>
      </c>
      <c r="C111" t="s">
        <v>478</v>
      </c>
      <c r="D111">
        <v>50184</v>
      </c>
      <c r="E111" t="s">
        <v>479</v>
      </c>
      <c r="F111">
        <v>41</v>
      </c>
      <c r="G111">
        <v>0</v>
      </c>
      <c r="H111">
        <v>4575</v>
      </c>
    </row>
    <row r="112" spans="1:8" x14ac:dyDescent="0.2">
      <c r="A112" t="s">
        <v>480</v>
      </c>
      <c r="B112" t="s">
        <v>481</v>
      </c>
      <c r="C112" t="s">
        <v>482</v>
      </c>
      <c r="D112">
        <v>100138</v>
      </c>
      <c r="E112" t="s">
        <v>483</v>
      </c>
      <c r="F112">
        <v>15</v>
      </c>
      <c r="G112">
        <v>150</v>
      </c>
      <c r="H112">
        <v>2058.8200000000002</v>
      </c>
    </row>
    <row r="113" spans="1:8" x14ac:dyDescent="0.2">
      <c r="A113" t="s">
        <v>484</v>
      </c>
      <c r="B113" t="s">
        <v>485</v>
      </c>
      <c r="C113" t="s">
        <v>486</v>
      </c>
      <c r="D113">
        <v>100175</v>
      </c>
      <c r="E113" t="s">
        <v>487</v>
      </c>
      <c r="F113">
        <v>77</v>
      </c>
      <c r="G113">
        <v>500</v>
      </c>
      <c r="H113">
        <v>4372.2</v>
      </c>
    </row>
    <row r="114" spans="1:8" x14ac:dyDescent="0.2">
      <c r="A114" t="s">
        <v>488</v>
      </c>
      <c r="B114" t="s">
        <v>489</v>
      </c>
      <c r="C114" t="s">
        <v>490</v>
      </c>
      <c r="D114">
        <v>50397</v>
      </c>
      <c r="E114" t="s">
        <v>491</v>
      </c>
      <c r="F114">
        <v>22</v>
      </c>
      <c r="G114">
        <v>200</v>
      </c>
      <c r="H114">
        <v>3239.85</v>
      </c>
    </row>
    <row r="115" spans="1:8" x14ac:dyDescent="0.2">
      <c r="A115" t="s">
        <v>492</v>
      </c>
      <c r="B115" t="s">
        <v>493</v>
      </c>
      <c r="C115" t="s">
        <v>494</v>
      </c>
      <c r="D115">
        <v>13</v>
      </c>
      <c r="E115" t="s">
        <v>495</v>
      </c>
      <c r="F115">
        <v>42</v>
      </c>
      <c r="G115">
        <v>0</v>
      </c>
      <c r="H115">
        <v>0</v>
      </c>
    </row>
    <row r="116" spans="1:8" x14ac:dyDescent="0.2">
      <c r="A116" t="s">
        <v>496</v>
      </c>
      <c r="B116" t="s">
        <v>497</v>
      </c>
      <c r="C116" t="s">
        <v>498</v>
      </c>
      <c r="D116">
        <v>59</v>
      </c>
      <c r="E116" t="s">
        <v>499</v>
      </c>
      <c r="F116">
        <v>2</v>
      </c>
      <c r="G116">
        <v>250</v>
      </c>
      <c r="H116">
        <v>2100</v>
      </c>
    </row>
    <row r="117" spans="1:8" x14ac:dyDescent="0.2">
      <c r="A117" t="s">
        <v>500</v>
      </c>
      <c r="B117" t="s">
        <v>501</v>
      </c>
      <c r="C117" t="s">
        <v>502</v>
      </c>
      <c r="D117">
        <v>50271</v>
      </c>
      <c r="E117" t="s">
        <v>503</v>
      </c>
      <c r="F117">
        <v>12</v>
      </c>
      <c r="G117">
        <v>150</v>
      </c>
      <c r="H117">
        <v>2165.88</v>
      </c>
    </row>
    <row r="118" spans="1:8" x14ac:dyDescent="0.2">
      <c r="A118" t="s">
        <v>504</v>
      </c>
      <c r="B118" t="s">
        <v>505</v>
      </c>
      <c r="C118" t="s">
        <v>506</v>
      </c>
      <c r="D118">
        <v>89</v>
      </c>
      <c r="E118" t="s">
        <v>507</v>
      </c>
      <c r="F118">
        <v>38</v>
      </c>
      <c r="G118">
        <v>0</v>
      </c>
      <c r="H118">
        <v>2186.1</v>
      </c>
    </row>
    <row r="119" spans="1:8" x14ac:dyDescent="0.2">
      <c r="A119" t="s">
        <v>508</v>
      </c>
      <c r="B119" t="s">
        <v>509</v>
      </c>
      <c r="C119" t="s">
        <v>510</v>
      </c>
      <c r="D119">
        <v>50141</v>
      </c>
      <c r="E119" t="s">
        <v>511</v>
      </c>
      <c r="F119">
        <v>54</v>
      </c>
      <c r="G119">
        <v>0</v>
      </c>
      <c r="H119">
        <v>2169.06</v>
      </c>
    </row>
    <row r="120" spans="1:8" x14ac:dyDescent="0.2">
      <c r="A120" t="s">
        <v>512</v>
      </c>
      <c r="B120" t="s">
        <v>513</v>
      </c>
      <c r="C120" t="s">
        <v>514</v>
      </c>
      <c r="D120">
        <v>50309</v>
      </c>
      <c r="E120" t="s">
        <v>515</v>
      </c>
      <c r="F120">
        <v>63</v>
      </c>
      <c r="G120">
        <v>0</v>
      </c>
      <c r="H120">
        <v>1750</v>
      </c>
    </row>
    <row r="121" spans="1:8" x14ac:dyDescent="0.2">
      <c r="A121" t="s">
        <v>516</v>
      </c>
      <c r="B121" t="s">
        <v>517</v>
      </c>
      <c r="C121" t="s">
        <v>518</v>
      </c>
      <c r="D121">
        <v>100177</v>
      </c>
      <c r="E121" t="s">
        <v>519</v>
      </c>
      <c r="F121">
        <v>27</v>
      </c>
      <c r="G121">
        <v>250</v>
      </c>
      <c r="H121">
        <v>2575</v>
      </c>
    </row>
    <row r="122" spans="1:8" x14ac:dyDescent="0.2">
      <c r="A122" t="s">
        <v>520</v>
      </c>
      <c r="B122" t="s">
        <v>521</v>
      </c>
      <c r="C122" t="s">
        <v>522</v>
      </c>
      <c r="D122">
        <v>18</v>
      </c>
      <c r="E122" t="s">
        <v>523</v>
      </c>
      <c r="F122">
        <v>117</v>
      </c>
      <c r="G122">
        <v>0</v>
      </c>
      <c r="H122">
        <v>0</v>
      </c>
    </row>
    <row r="123" spans="1:8" x14ac:dyDescent="0.2">
      <c r="A123" t="s">
        <v>524</v>
      </c>
      <c r="B123" t="s">
        <v>525</v>
      </c>
      <c r="C123" t="s">
        <v>526</v>
      </c>
      <c r="D123">
        <v>50402</v>
      </c>
      <c r="E123" t="s">
        <v>527</v>
      </c>
      <c r="F123">
        <v>57</v>
      </c>
      <c r="G123">
        <v>0</v>
      </c>
      <c r="H123">
        <v>1750</v>
      </c>
    </row>
    <row r="124" spans="1:8" x14ac:dyDescent="0.2">
      <c r="A124" t="s">
        <v>528</v>
      </c>
      <c r="B124" t="s">
        <v>529</v>
      </c>
      <c r="C124" t="s">
        <v>530</v>
      </c>
      <c r="D124">
        <v>50222</v>
      </c>
      <c r="E124" t="s">
        <v>531</v>
      </c>
      <c r="F124">
        <v>60</v>
      </c>
      <c r="G124">
        <v>250</v>
      </c>
      <c r="H124">
        <v>2250</v>
      </c>
    </row>
    <row r="125" spans="1:8" x14ac:dyDescent="0.2">
      <c r="A125" t="s">
        <v>532</v>
      </c>
      <c r="B125" t="s">
        <v>533</v>
      </c>
      <c r="C125" t="s">
        <v>534</v>
      </c>
      <c r="D125">
        <v>40</v>
      </c>
      <c r="E125" t="s">
        <v>535</v>
      </c>
      <c r="F125">
        <v>3</v>
      </c>
      <c r="G125">
        <v>0</v>
      </c>
      <c r="H125">
        <v>0</v>
      </c>
    </row>
    <row r="126" spans="1:8" x14ac:dyDescent="0.2">
      <c r="A126" t="s">
        <v>536</v>
      </c>
      <c r="B126" t="s">
        <v>537</v>
      </c>
      <c r="C126" t="s">
        <v>538</v>
      </c>
      <c r="D126">
        <v>50448</v>
      </c>
      <c r="G126">
        <v>450</v>
      </c>
      <c r="H126">
        <v>5500</v>
      </c>
    </row>
    <row r="127" spans="1:8" x14ac:dyDescent="0.2">
      <c r="A127" t="s">
        <v>539</v>
      </c>
      <c r="B127" t="s">
        <v>540</v>
      </c>
      <c r="C127" t="s">
        <v>541</v>
      </c>
      <c r="D127">
        <v>84</v>
      </c>
      <c r="G127">
        <v>0</v>
      </c>
      <c r="H127">
        <v>1750</v>
      </c>
    </row>
    <row r="128" spans="1:8" x14ac:dyDescent="0.2">
      <c r="A128" t="s">
        <v>542</v>
      </c>
      <c r="B128" t="s">
        <v>543</v>
      </c>
      <c r="C128" t="s">
        <v>544</v>
      </c>
      <c r="D128">
        <v>50026</v>
      </c>
      <c r="G128">
        <v>0</v>
      </c>
      <c r="H128">
        <v>3409.28</v>
      </c>
    </row>
    <row r="129" spans="1:8" x14ac:dyDescent="0.2">
      <c r="A129" t="s">
        <v>545</v>
      </c>
      <c r="B129" t="s">
        <v>546</v>
      </c>
      <c r="C129" t="s">
        <v>547</v>
      </c>
      <c r="D129">
        <v>50168</v>
      </c>
      <c r="G129">
        <v>0</v>
      </c>
      <c r="H129">
        <v>2363.0700000000002</v>
      </c>
    </row>
    <row r="130" spans="1:8" x14ac:dyDescent="0.2">
      <c r="A130" t="s">
        <v>548</v>
      </c>
      <c r="B130" t="s">
        <v>549</v>
      </c>
      <c r="C130" t="s">
        <v>189</v>
      </c>
      <c r="D130">
        <v>100125</v>
      </c>
      <c r="G130">
        <v>250</v>
      </c>
      <c r="H130">
        <v>2446.35</v>
      </c>
    </row>
    <row r="131" spans="1:8" x14ac:dyDescent="0.2">
      <c r="A131" t="s">
        <v>550</v>
      </c>
      <c r="B131" t="s">
        <v>551</v>
      </c>
      <c r="C131" t="s">
        <v>552</v>
      </c>
      <c r="D131">
        <v>100262</v>
      </c>
      <c r="G131">
        <v>0</v>
      </c>
      <c r="H131">
        <v>0</v>
      </c>
    </row>
    <row r="132" spans="1:8" x14ac:dyDescent="0.2">
      <c r="A132" t="s">
        <v>553</v>
      </c>
      <c r="B132" t="s">
        <v>554</v>
      </c>
      <c r="C132" t="s">
        <v>555</v>
      </c>
      <c r="D132">
        <v>50433</v>
      </c>
      <c r="G132">
        <v>0</v>
      </c>
      <c r="H132">
        <v>1829.53</v>
      </c>
    </row>
    <row r="133" spans="1:8" x14ac:dyDescent="0.2">
      <c r="A133" t="s">
        <v>556</v>
      </c>
      <c r="B133" t="s">
        <v>557</v>
      </c>
      <c r="C133" t="s">
        <v>558</v>
      </c>
      <c r="D133">
        <v>7</v>
      </c>
      <c r="G133">
        <v>0</v>
      </c>
      <c r="H133">
        <v>0</v>
      </c>
    </row>
    <row r="134" spans="1:8" x14ac:dyDescent="0.2">
      <c r="A134" t="s">
        <v>559</v>
      </c>
      <c r="B134" t="s">
        <v>560</v>
      </c>
      <c r="C134" t="s">
        <v>561</v>
      </c>
      <c r="D134">
        <v>50426</v>
      </c>
      <c r="G134">
        <v>150</v>
      </c>
      <c r="H134">
        <v>1974.12</v>
      </c>
    </row>
    <row r="135" spans="1:8" x14ac:dyDescent="0.2">
      <c r="A135" t="s">
        <v>562</v>
      </c>
      <c r="B135" t="s">
        <v>563</v>
      </c>
      <c r="C135" t="s">
        <v>564</v>
      </c>
      <c r="D135">
        <v>50394</v>
      </c>
      <c r="G135">
        <v>250</v>
      </c>
      <c r="H135">
        <v>2240.44</v>
      </c>
    </row>
    <row r="136" spans="1:8" x14ac:dyDescent="0.2">
      <c r="A136" t="s">
        <v>565</v>
      </c>
      <c r="B136" t="s">
        <v>566</v>
      </c>
      <c r="C136" t="s">
        <v>567</v>
      </c>
      <c r="D136">
        <v>50439</v>
      </c>
      <c r="G136">
        <v>0</v>
      </c>
      <c r="H136">
        <v>2342.25</v>
      </c>
    </row>
    <row r="137" spans="1:8" x14ac:dyDescent="0.2">
      <c r="A137" t="s">
        <v>568</v>
      </c>
      <c r="B137" t="s">
        <v>569</v>
      </c>
      <c r="C137" t="s">
        <v>570</v>
      </c>
      <c r="D137">
        <v>50252</v>
      </c>
      <c r="G137">
        <v>250</v>
      </c>
      <c r="H137">
        <v>2602.5</v>
      </c>
    </row>
    <row r="138" spans="1:8" x14ac:dyDescent="0.2">
      <c r="A138" t="s">
        <v>571</v>
      </c>
      <c r="B138" t="s">
        <v>572</v>
      </c>
      <c r="C138" t="s">
        <v>573</v>
      </c>
      <c r="D138">
        <v>30</v>
      </c>
      <c r="G138">
        <v>0</v>
      </c>
      <c r="H138">
        <v>1977.9</v>
      </c>
    </row>
    <row r="139" spans="1:8" x14ac:dyDescent="0.2">
      <c r="A139" t="s">
        <v>574</v>
      </c>
      <c r="B139" t="s">
        <v>575</v>
      </c>
      <c r="C139" t="s">
        <v>576</v>
      </c>
      <c r="D139">
        <v>52</v>
      </c>
      <c r="G139">
        <v>0</v>
      </c>
      <c r="H139">
        <v>2082</v>
      </c>
    </row>
    <row r="140" spans="1:8" x14ac:dyDescent="0.2">
      <c r="A140" t="s">
        <v>577</v>
      </c>
      <c r="B140" t="s">
        <v>578</v>
      </c>
      <c r="C140" t="s">
        <v>579</v>
      </c>
      <c r="D140">
        <v>87</v>
      </c>
      <c r="G140">
        <v>0</v>
      </c>
      <c r="H140">
        <v>0</v>
      </c>
    </row>
    <row r="141" spans="1:8" x14ac:dyDescent="0.2">
      <c r="A141" t="s">
        <v>580</v>
      </c>
      <c r="B141" t="s">
        <v>581</v>
      </c>
      <c r="C141" t="s">
        <v>582</v>
      </c>
      <c r="D141">
        <v>22</v>
      </c>
      <c r="G141">
        <v>250</v>
      </c>
      <c r="H141">
        <v>2315.29</v>
      </c>
    </row>
    <row r="142" spans="1:8" x14ac:dyDescent="0.2">
      <c r="A142" t="s">
        <v>583</v>
      </c>
      <c r="B142" t="s">
        <v>584</v>
      </c>
      <c r="C142" t="s">
        <v>585</v>
      </c>
      <c r="D142">
        <v>50176</v>
      </c>
      <c r="G142">
        <v>0</v>
      </c>
      <c r="H142">
        <v>1503.32</v>
      </c>
    </row>
    <row r="143" spans="1:8" x14ac:dyDescent="0.2">
      <c r="A143" t="s">
        <v>586</v>
      </c>
      <c r="B143" t="s">
        <v>587</v>
      </c>
      <c r="C143" t="s">
        <v>588</v>
      </c>
      <c r="D143">
        <v>50308</v>
      </c>
      <c r="G143">
        <v>0</v>
      </c>
      <c r="H143">
        <v>1503.32</v>
      </c>
    </row>
    <row r="144" spans="1:8" x14ac:dyDescent="0.2">
      <c r="A144" t="s">
        <v>589</v>
      </c>
      <c r="B144" t="s">
        <v>590</v>
      </c>
      <c r="C144" t="s">
        <v>591</v>
      </c>
      <c r="D144">
        <v>50215</v>
      </c>
      <c r="G144">
        <v>0</v>
      </c>
      <c r="H144">
        <v>1503.32</v>
      </c>
    </row>
    <row r="145" spans="1:8" x14ac:dyDescent="0.2">
      <c r="A145" t="s">
        <v>592</v>
      </c>
      <c r="B145" t="s">
        <v>593</v>
      </c>
      <c r="C145" t="s">
        <v>594</v>
      </c>
      <c r="D145">
        <v>11</v>
      </c>
      <c r="G145">
        <v>150</v>
      </c>
      <c r="H145">
        <v>2065.88</v>
      </c>
    </row>
    <row r="146" spans="1:8" x14ac:dyDescent="0.2">
      <c r="A146" t="s">
        <v>595</v>
      </c>
      <c r="B146" t="s">
        <v>596</v>
      </c>
      <c r="C146" t="s">
        <v>597</v>
      </c>
      <c r="D146">
        <v>50170</v>
      </c>
      <c r="G146">
        <v>0</v>
      </c>
      <c r="H146">
        <v>2255</v>
      </c>
    </row>
    <row r="147" spans="1:8" x14ac:dyDescent="0.2">
      <c r="A147" t="s">
        <v>598</v>
      </c>
      <c r="B147" t="s">
        <v>599</v>
      </c>
      <c r="C147" t="s">
        <v>600</v>
      </c>
      <c r="D147">
        <v>45</v>
      </c>
      <c r="G147">
        <v>350</v>
      </c>
      <c r="H147">
        <v>0</v>
      </c>
    </row>
    <row r="148" spans="1:8" x14ac:dyDescent="0.2">
      <c r="A148" t="s">
        <v>601</v>
      </c>
      <c r="B148" t="s">
        <v>602</v>
      </c>
      <c r="C148" t="s">
        <v>603</v>
      </c>
      <c r="D148">
        <v>76</v>
      </c>
      <c r="G148">
        <v>300</v>
      </c>
      <c r="H148">
        <v>0</v>
      </c>
    </row>
    <row r="149" spans="1:8" x14ac:dyDescent="0.2">
      <c r="A149" t="s">
        <v>604</v>
      </c>
      <c r="B149" t="s">
        <v>605</v>
      </c>
      <c r="C149" t="s">
        <v>606</v>
      </c>
      <c r="D149">
        <v>50213</v>
      </c>
      <c r="G149">
        <v>0</v>
      </c>
      <c r="H149">
        <v>2255</v>
      </c>
    </row>
    <row r="150" spans="1:8" x14ac:dyDescent="0.2">
      <c r="A150" t="s">
        <v>607</v>
      </c>
      <c r="B150" t="s">
        <v>608</v>
      </c>
      <c r="C150" t="s">
        <v>609</v>
      </c>
      <c r="D150">
        <v>50396</v>
      </c>
      <c r="G150">
        <v>350</v>
      </c>
      <c r="H150">
        <v>2575</v>
      </c>
    </row>
    <row r="151" spans="1:8" x14ac:dyDescent="0.2">
      <c r="A151" t="s">
        <v>610</v>
      </c>
      <c r="B151" t="s">
        <v>611</v>
      </c>
      <c r="C151" t="s">
        <v>612</v>
      </c>
      <c r="D151">
        <v>50305</v>
      </c>
      <c r="G151">
        <v>0</v>
      </c>
      <c r="H151">
        <v>2255</v>
      </c>
    </row>
    <row r="152" spans="1:8" x14ac:dyDescent="0.2">
      <c r="A152" t="s">
        <v>613</v>
      </c>
      <c r="B152" t="s">
        <v>614</v>
      </c>
      <c r="C152" t="s">
        <v>615</v>
      </c>
      <c r="D152">
        <v>50033</v>
      </c>
      <c r="G152">
        <v>0</v>
      </c>
      <c r="H152">
        <v>0</v>
      </c>
    </row>
    <row r="153" spans="1:8" x14ac:dyDescent="0.2">
      <c r="A153" t="s">
        <v>616</v>
      </c>
      <c r="B153" t="s">
        <v>617</v>
      </c>
      <c r="C153" t="s">
        <v>618</v>
      </c>
      <c r="D153">
        <v>50288</v>
      </c>
      <c r="G153">
        <v>250</v>
      </c>
      <c r="H153">
        <v>2500</v>
      </c>
    </row>
    <row r="154" spans="1:8" x14ac:dyDescent="0.2">
      <c r="A154" t="s">
        <v>619</v>
      </c>
      <c r="B154" t="s">
        <v>620</v>
      </c>
      <c r="C154" t="s">
        <v>621</v>
      </c>
      <c r="D154">
        <v>100108</v>
      </c>
      <c r="G154">
        <v>0</v>
      </c>
      <c r="H154">
        <v>1503.32</v>
      </c>
    </row>
    <row r="155" spans="1:8" x14ac:dyDescent="0.2">
      <c r="A155" t="s">
        <v>622</v>
      </c>
      <c r="B155" t="s">
        <v>623</v>
      </c>
      <c r="C155" t="s">
        <v>624</v>
      </c>
      <c r="D155">
        <v>50102</v>
      </c>
      <c r="G155">
        <v>0</v>
      </c>
      <c r="H155">
        <v>2300</v>
      </c>
    </row>
    <row r="156" spans="1:8" x14ac:dyDescent="0.2">
      <c r="A156" t="s">
        <v>625</v>
      </c>
      <c r="B156" t="s">
        <v>626</v>
      </c>
      <c r="C156" t="s">
        <v>627</v>
      </c>
      <c r="D156">
        <v>50283</v>
      </c>
      <c r="G156">
        <v>0</v>
      </c>
      <c r="H156">
        <v>2255</v>
      </c>
    </row>
    <row r="157" spans="1:8" x14ac:dyDescent="0.2">
      <c r="A157" t="s">
        <v>628</v>
      </c>
      <c r="B157" t="s">
        <v>629</v>
      </c>
      <c r="C157" t="s">
        <v>630</v>
      </c>
      <c r="D157">
        <v>100139</v>
      </c>
      <c r="G157">
        <v>0</v>
      </c>
      <c r="H157">
        <v>2250</v>
      </c>
    </row>
    <row r="158" spans="1:8" x14ac:dyDescent="0.2">
      <c r="A158" t="s">
        <v>631</v>
      </c>
      <c r="B158" t="s">
        <v>632</v>
      </c>
      <c r="C158" t="s">
        <v>233</v>
      </c>
      <c r="D158">
        <v>50415</v>
      </c>
      <c r="G158">
        <v>300</v>
      </c>
      <c r="H158">
        <v>1683.53</v>
      </c>
    </row>
    <row r="159" spans="1:8" x14ac:dyDescent="0.2">
      <c r="A159" t="s">
        <v>633</v>
      </c>
      <c r="B159" t="s">
        <v>634</v>
      </c>
      <c r="C159" t="s">
        <v>635</v>
      </c>
      <c r="D159">
        <v>50347</v>
      </c>
      <c r="G159">
        <v>300</v>
      </c>
      <c r="H159">
        <v>2422.35</v>
      </c>
    </row>
    <row r="160" spans="1:8" x14ac:dyDescent="0.2">
      <c r="A160" t="s">
        <v>636</v>
      </c>
      <c r="B160" t="s">
        <v>637</v>
      </c>
      <c r="C160" t="s">
        <v>638</v>
      </c>
      <c r="D160">
        <v>97</v>
      </c>
      <c r="G160">
        <v>300</v>
      </c>
      <c r="H160">
        <v>2284.71</v>
      </c>
    </row>
    <row r="161" spans="1:8" x14ac:dyDescent="0.2">
      <c r="A161" t="s">
        <v>639</v>
      </c>
      <c r="B161" t="s">
        <v>640</v>
      </c>
      <c r="C161" t="s">
        <v>641</v>
      </c>
      <c r="D161">
        <v>100112</v>
      </c>
      <c r="G161">
        <v>300</v>
      </c>
      <c r="H161">
        <v>1855.29</v>
      </c>
    </row>
    <row r="162" spans="1:8" x14ac:dyDescent="0.2">
      <c r="A162" t="s">
        <v>642</v>
      </c>
      <c r="B162" t="s">
        <v>643</v>
      </c>
      <c r="C162" t="s">
        <v>644</v>
      </c>
      <c r="D162">
        <v>50304</v>
      </c>
      <c r="G162">
        <v>200</v>
      </c>
      <c r="H162">
        <v>1642.35</v>
      </c>
    </row>
    <row r="163" spans="1:8" x14ac:dyDescent="0.2">
      <c r="A163" t="s">
        <v>645</v>
      </c>
      <c r="B163" t="s">
        <v>646</v>
      </c>
      <c r="C163" t="s">
        <v>647</v>
      </c>
      <c r="D163">
        <v>50136</v>
      </c>
      <c r="G163">
        <v>200</v>
      </c>
      <c r="H163">
        <v>1978.82</v>
      </c>
    </row>
    <row r="164" spans="1:8" x14ac:dyDescent="0.2">
      <c r="A164" t="s">
        <v>648</v>
      </c>
      <c r="B164" t="s">
        <v>649</v>
      </c>
      <c r="C164" t="s">
        <v>650</v>
      </c>
      <c r="D164">
        <v>55</v>
      </c>
      <c r="G164">
        <v>250</v>
      </c>
      <c r="H164">
        <v>1772.94</v>
      </c>
    </row>
    <row r="165" spans="1:8" x14ac:dyDescent="0.2">
      <c r="A165" t="s">
        <v>651</v>
      </c>
      <c r="B165" t="s">
        <v>652</v>
      </c>
      <c r="C165" t="s">
        <v>653</v>
      </c>
      <c r="D165">
        <v>100094</v>
      </c>
      <c r="G165">
        <v>250</v>
      </c>
      <c r="H165">
        <v>1795.29</v>
      </c>
    </row>
    <row r="166" spans="1:8" x14ac:dyDescent="0.2">
      <c r="A166" t="s">
        <v>654</v>
      </c>
      <c r="B166" t="s">
        <v>655</v>
      </c>
      <c r="C166" t="s">
        <v>656</v>
      </c>
      <c r="D166">
        <v>50173</v>
      </c>
      <c r="G166">
        <v>350</v>
      </c>
      <c r="H166">
        <v>1735.29</v>
      </c>
    </row>
    <row r="167" spans="1:8" x14ac:dyDescent="0.2">
      <c r="A167" t="s">
        <v>657</v>
      </c>
      <c r="B167" t="s">
        <v>658</v>
      </c>
      <c r="C167" t="s">
        <v>659</v>
      </c>
      <c r="D167">
        <v>50289</v>
      </c>
      <c r="G167">
        <v>350</v>
      </c>
      <c r="H167">
        <v>1884.71</v>
      </c>
    </row>
    <row r="168" spans="1:8" x14ac:dyDescent="0.2">
      <c r="A168" t="s">
        <v>660</v>
      </c>
      <c r="B168" t="s">
        <v>661</v>
      </c>
      <c r="C168" t="s">
        <v>662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663</v>
      </c>
      <c r="B169" t="s">
        <v>664</v>
      </c>
      <c r="C169" t="s">
        <v>665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666</v>
      </c>
      <c r="B170" t="s">
        <v>667</v>
      </c>
      <c r="C170" t="s">
        <v>668</v>
      </c>
      <c r="D170">
        <v>50295</v>
      </c>
      <c r="G170">
        <v>400</v>
      </c>
      <c r="H170">
        <v>2028.24</v>
      </c>
    </row>
    <row r="171" spans="1:8" x14ac:dyDescent="0.2">
      <c r="A171" t="s">
        <v>669</v>
      </c>
      <c r="B171" t="s">
        <v>670</v>
      </c>
      <c r="C171" t="s">
        <v>671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672</v>
      </c>
      <c r="B172" t="s">
        <v>673</v>
      </c>
      <c r="C172" t="s">
        <v>674</v>
      </c>
      <c r="D172">
        <v>50467</v>
      </c>
      <c r="G172">
        <v>200</v>
      </c>
      <c r="H172">
        <v>1818.82</v>
      </c>
    </row>
    <row r="173" spans="1:8" x14ac:dyDescent="0.2">
      <c r="A173" t="s">
        <v>675</v>
      </c>
      <c r="B173" t="s">
        <v>676</v>
      </c>
      <c r="C173" t="s">
        <v>677</v>
      </c>
      <c r="D173">
        <v>50198</v>
      </c>
      <c r="G173">
        <v>300</v>
      </c>
      <c r="H173">
        <v>1902.35</v>
      </c>
    </row>
    <row r="174" spans="1:8" x14ac:dyDescent="0.2">
      <c r="A174" t="s">
        <v>678</v>
      </c>
      <c r="B174" t="s">
        <v>679</v>
      </c>
      <c r="C174" t="s">
        <v>680</v>
      </c>
      <c r="D174">
        <v>96</v>
      </c>
      <c r="G174">
        <v>400</v>
      </c>
      <c r="H174">
        <v>2516.4699999999998</v>
      </c>
    </row>
    <row r="175" spans="1:8" x14ac:dyDescent="0.2">
      <c r="A175" t="s">
        <v>681</v>
      </c>
      <c r="B175" t="s">
        <v>682</v>
      </c>
      <c r="C175" t="s">
        <v>683</v>
      </c>
      <c r="D175">
        <v>35</v>
      </c>
      <c r="G175">
        <v>200</v>
      </c>
      <c r="H175">
        <v>4164</v>
      </c>
    </row>
    <row r="176" spans="1:8" x14ac:dyDescent="0.2">
      <c r="A176" t="s">
        <v>684</v>
      </c>
      <c r="B176" t="s">
        <v>685</v>
      </c>
      <c r="C176" t="s">
        <v>686</v>
      </c>
      <c r="D176">
        <v>50152</v>
      </c>
      <c r="G176">
        <v>0</v>
      </c>
      <c r="H176">
        <v>2841.93</v>
      </c>
    </row>
    <row r="177" spans="1:8" x14ac:dyDescent="0.2">
      <c r="A177" t="s">
        <v>687</v>
      </c>
      <c r="B177" t="s">
        <v>688</v>
      </c>
      <c r="C177" t="s">
        <v>689</v>
      </c>
      <c r="D177">
        <v>100228</v>
      </c>
      <c r="G177">
        <v>150</v>
      </c>
      <c r="H177">
        <v>2444.71</v>
      </c>
    </row>
    <row r="178" spans="1:8" x14ac:dyDescent="0.2">
      <c r="A178" t="s">
        <v>690</v>
      </c>
      <c r="B178" t="s">
        <v>691</v>
      </c>
      <c r="C178" t="s">
        <v>692</v>
      </c>
      <c r="D178">
        <v>25</v>
      </c>
      <c r="G178">
        <v>150</v>
      </c>
      <c r="H178">
        <v>1769.41</v>
      </c>
    </row>
    <row r="179" spans="1:8" x14ac:dyDescent="0.2">
      <c r="A179" t="s">
        <v>693</v>
      </c>
      <c r="B179" t="s">
        <v>694</v>
      </c>
      <c r="C179" t="s">
        <v>695</v>
      </c>
      <c r="D179">
        <v>50373</v>
      </c>
      <c r="G179">
        <v>0</v>
      </c>
      <c r="H179">
        <v>0</v>
      </c>
    </row>
    <row r="180" spans="1:8" x14ac:dyDescent="0.2">
      <c r="A180" t="s">
        <v>696</v>
      </c>
      <c r="B180" t="s">
        <v>697</v>
      </c>
      <c r="C180" t="s">
        <v>698</v>
      </c>
      <c r="D180">
        <v>50228</v>
      </c>
      <c r="G180">
        <v>0</v>
      </c>
      <c r="H180">
        <v>2593.81</v>
      </c>
    </row>
    <row r="181" spans="1:8" x14ac:dyDescent="0.2">
      <c r="A181" t="s">
        <v>699</v>
      </c>
      <c r="B181" t="s">
        <v>700</v>
      </c>
      <c r="C181" t="s">
        <v>701</v>
      </c>
      <c r="D181">
        <v>50164</v>
      </c>
      <c r="G181">
        <v>0</v>
      </c>
      <c r="H181">
        <v>2593.81</v>
      </c>
    </row>
    <row r="182" spans="1:8" x14ac:dyDescent="0.2">
      <c r="A182" t="s">
        <v>702</v>
      </c>
      <c r="B182" t="s">
        <v>703</v>
      </c>
      <c r="C182" t="s">
        <v>704</v>
      </c>
      <c r="D182">
        <v>50162</v>
      </c>
      <c r="G182">
        <v>150</v>
      </c>
      <c r="H182">
        <v>2444.71</v>
      </c>
    </row>
    <row r="183" spans="1:8" x14ac:dyDescent="0.2">
      <c r="A183" t="s">
        <v>705</v>
      </c>
      <c r="B183" t="s">
        <v>706</v>
      </c>
      <c r="C183" t="s">
        <v>707</v>
      </c>
      <c r="D183">
        <v>68</v>
      </c>
      <c r="G183">
        <v>150</v>
      </c>
      <c r="H183">
        <v>2108.6999999999998</v>
      </c>
    </row>
    <row r="184" spans="1:8" x14ac:dyDescent="0.2">
      <c r="A184" t="s">
        <v>708</v>
      </c>
      <c r="B184" t="s">
        <v>709</v>
      </c>
      <c r="C184" t="s">
        <v>710</v>
      </c>
      <c r="D184">
        <v>41</v>
      </c>
      <c r="G184">
        <v>200</v>
      </c>
      <c r="H184">
        <v>2400</v>
      </c>
    </row>
    <row r="185" spans="1:8" x14ac:dyDescent="0.2">
      <c r="A185" t="s">
        <v>711</v>
      </c>
      <c r="B185" t="s">
        <v>712</v>
      </c>
      <c r="C185" t="s">
        <v>713</v>
      </c>
      <c r="D185">
        <v>100088</v>
      </c>
      <c r="G185">
        <v>300</v>
      </c>
      <c r="H185">
        <v>2650</v>
      </c>
    </row>
    <row r="186" spans="1:8" x14ac:dyDescent="0.2">
      <c r="A186" t="s">
        <v>714</v>
      </c>
      <c r="B186" t="s">
        <v>715</v>
      </c>
      <c r="C186" t="s">
        <v>716</v>
      </c>
      <c r="D186">
        <v>100095</v>
      </c>
      <c r="G186">
        <v>250</v>
      </c>
      <c r="H186">
        <v>2250</v>
      </c>
    </row>
    <row r="187" spans="1:8" x14ac:dyDescent="0.2">
      <c r="A187" t="s">
        <v>717</v>
      </c>
      <c r="B187" t="s">
        <v>718</v>
      </c>
      <c r="C187" t="s">
        <v>719</v>
      </c>
      <c r="D187">
        <v>100101</v>
      </c>
      <c r="G187">
        <v>550</v>
      </c>
      <c r="H187">
        <v>4000</v>
      </c>
    </row>
    <row r="188" spans="1:8" x14ac:dyDescent="0.2">
      <c r="A188" t="s">
        <v>720</v>
      </c>
      <c r="B188" t="s">
        <v>721</v>
      </c>
      <c r="C188" t="s">
        <v>722</v>
      </c>
      <c r="D188">
        <v>50420</v>
      </c>
      <c r="G188">
        <v>300</v>
      </c>
      <c r="H188">
        <v>3775</v>
      </c>
    </row>
    <row r="189" spans="1:8" x14ac:dyDescent="0.2">
      <c r="A189" t="s">
        <v>723</v>
      </c>
      <c r="B189" t="s">
        <v>724</v>
      </c>
      <c r="C189" t="s">
        <v>725</v>
      </c>
      <c r="D189">
        <v>100248</v>
      </c>
      <c r="G189">
        <v>0</v>
      </c>
      <c r="H189">
        <v>0</v>
      </c>
    </row>
    <row r="190" spans="1:8" x14ac:dyDescent="0.2">
      <c r="A190" t="s">
        <v>726</v>
      </c>
      <c r="B190" t="s">
        <v>727</v>
      </c>
      <c r="C190" t="s">
        <v>728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729</v>
      </c>
      <c r="B191" t="s">
        <v>730</v>
      </c>
      <c r="C191" t="s">
        <v>731</v>
      </c>
      <c r="D191">
        <v>50163</v>
      </c>
      <c r="G191">
        <v>100</v>
      </c>
      <c r="H191">
        <v>1610.06</v>
      </c>
    </row>
    <row r="192" spans="1:8" x14ac:dyDescent="0.2">
      <c r="A192" t="s">
        <v>732</v>
      </c>
      <c r="B192" t="s">
        <v>733</v>
      </c>
      <c r="C192" t="s">
        <v>284</v>
      </c>
      <c r="D192">
        <v>50449</v>
      </c>
      <c r="G192">
        <v>0</v>
      </c>
      <c r="H192">
        <v>1867.66</v>
      </c>
    </row>
    <row r="193" spans="1:8" x14ac:dyDescent="0.2">
      <c r="A193" t="s">
        <v>734</v>
      </c>
      <c r="B193" t="s">
        <v>735</v>
      </c>
      <c r="C193" t="s">
        <v>736</v>
      </c>
      <c r="D193">
        <v>50301</v>
      </c>
      <c r="G193">
        <v>0</v>
      </c>
      <c r="H193">
        <v>0</v>
      </c>
    </row>
    <row r="194" spans="1:8" x14ac:dyDescent="0.2">
      <c r="A194" t="s">
        <v>737</v>
      </c>
      <c r="B194" t="s">
        <v>738</v>
      </c>
      <c r="C194" t="s">
        <v>739</v>
      </c>
      <c r="D194">
        <v>10</v>
      </c>
      <c r="G194">
        <v>0</v>
      </c>
      <c r="H194">
        <v>2350</v>
      </c>
    </row>
    <row r="195" spans="1:8" x14ac:dyDescent="0.2">
      <c r="A195" t="s">
        <v>740</v>
      </c>
      <c r="B195" t="s">
        <v>741</v>
      </c>
      <c r="C195" t="s">
        <v>742</v>
      </c>
      <c r="D195">
        <v>50210</v>
      </c>
      <c r="G195">
        <v>250</v>
      </c>
      <c r="H195">
        <v>2400</v>
      </c>
    </row>
    <row r="196" spans="1:8" x14ac:dyDescent="0.2">
      <c r="A196" t="s">
        <v>743</v>
      </c>
      <c r="B196" t="s">
        <v>744</v>
      </c>
      <c r="C196" t="s">
        <v>745</v>
      </c>
      <c r="D196">
        <v>85</v>
      </c>
      <c r="G196">
        <v>250</v>
      </c>
      <c r="H196">
        <v>2500</v>
      </c>
    </row>
    <row r="197" spans="1:8" x14ac:dyDescent="0.2">
      <c r="A197" t="s">
        <v>746</v>
      </c>
      <c r="B197" t="s">
        <v>747</v>
      </c>
      <c r="C197" t="s">
        <v>748</v>
      </c>
      <c r="D197">
        <v>50279</v>
      </c>
      <c r="G197">
        <v>600</v>
      </c>
      <c r="H197">
        <v>4750</v>
      </c>
    </row>
    <row r="198" spans="1:8" x14ac:dyDescent="0.2">
      <c r="A198" t="s">
        <v>749</v>
      </c>
      <c r="B198" t="s">
        <v>750</v>
      </c>
      <c r="C198" t="s">
        <v>751</v>
      </c>
      <c r="D198">
        <v>50039</v>
      </c>
      <c r="G198">
        <v>0</v>
      </c>
      <c r="H198">
        <v>2737.83</v>
      </c>
    </row>
    <row r="199" spans="1:8" x14ac:dyDescent="0.2">
      <c r="A199" t="s">
        <v>752</v>
      </c>
      <c r="B199" t="s">
        <v>753</v>
      </c>
      <c r="C199" t="s">
        <v>754</v>
      </c>
      <c r="D199">
        <v>100247</v>
      </c>
      <c r="G199">
        <v>450</v>
      </c>
      <c r="H199">
        <v>0</v>
      </c>
    </row>
    <row r="200" spans="1:8" x14ac:dyDescent="0.2">
      <c r="A200" t="s">
        <v>755</v>
      </c>
      <c r="B200" t="s">
        <v>756</v>
      </c>
      <c r="C200" t="s">
        <v>757</v>
      </c>
      <c r="D200">
        <v>100244</v>
      </c>
      <c r="G200">
        <v>0</v>
      </c>
      <c r="H200">
        <v>1436.58</v>
      </c>
    </row>
    <row r="201" spans="1:8" x14ac:dyDescent="0.2">
      <c r="A201" t="s">
        <v>758</v>
      </c>
      <c r="B201" t="s">
        <v>759</v>
      </c>
      <c r="C201" t="s">
        <v>760</v>
      </c>
      <c r="D201">
        <v>100239</v>
      </c>
      <c r="G201">
        <v>250</v>
      </c>
      <c r="H201">
        <v>0</v>
      </c>
    </row>
    <row r="202" spans="1:8" x14ac:dyDescent="0.2">
      <c r="A202" t="s">
        <v>761</v>
      </c>
      <c r="B202" t="s">
        <v>762</v>
      </c>
      <c r="C202" t="s">
        <v>763</v>
      </c>
      <c r="D202">
        <v>50349</v>
      </c>
      <c r="G202">
        <v>0</v>
      </c>
      <c r="H202">
        <v>1436.58</v>
      </c>
    </row>
    <row r="203" spans="1:8" x14ac:dyDescent="0.2">
      <c r="A203" t="s">
        <v>764</v>
      </c>
      <c r="B203" t="s">
        <v>765</v>
      </c>
      <c r="C203" t="s">
        <v>766</v>
      </c>
      <c r="D203">
        <v>100201</v>
      </c>
      <c r="G203">
        <v>200</v>
      </c>
      <c r="H203">
        <v>2855.46</v>
      </c>
    </row>
    <row r="204" spans="1:8" x14ac:dyDescent="0.2">
      <c r="A204" t="s">
        <v>767</v>
      </c>
      <c r="B204" t="s">
        <v>768</v>
      </c>
      <c r="C204" t="s">
        <v>769</v>
      </c>
      <c r="D204">
        <v>50041</v>
      </c>
      <c r="G204">
        <v>200</v>
      </c>
      <c r="H204">
        <v>2853.27</v>
      </c>
    </row>
    <row r="205" spans="1:8" x14ac:dyDescent="0.2">
      <c r="A205" t="s">
        <v>770</v>
      </c>
      <c r="B205" t="s">
        <v>771</v>
      </c>
      <c r="C205" t="s">
        <v>772</v>
      </c>
      <c r="D205">
        <v>50</v>
      </c>
      <c r="G205">
        <v>0</v>
      </c>
      <c r="H205">
        <v>2914.8</v>
      </c>
    </row>
    <row r="206" spans="1:8" x14ac:dyDescent="0.2">
      <c r="A206" t="s">
        <v>773</v>
      </c>
      <c r="B206" t="s">
        <v>774</v>
      </c>
      <c r="C206" t="s">
        <v>775</v>
      </c>
      <c r="D206">
        <v>12</v>
      </c>
      <c r="G206">
        <v>0</v>
      </c>
      <c r="H206">
        <v>3643.5</v>
      </c>
    </row>
    <row r="207" spans="1:8" x14ac:dyDescent="0.2">
      <c r="A207" t="s">
        <v>776</v>
      </c>
      <c r="B207" t="s">
        <v>777</v>
      </c>
      <c r="C207" t="s">
        <v>778</v>
      </c>
      <c r="D207">
        <v>100140</v>
      </c>
      <c r="G207">
        <v>0</v>
      </c>
      <c r="H207">
        <v>0</v>
      </c>
    </row>
    <row r="208" spans="1:8" x14ac:dyDescent="0.2">
      <c r="A208" t="s">
        <v>779</v>
      </c>
      <c r="B208" t="s">
        <v>780</v>
      </c>
      <c r="C208" t="s">
        <v>781</v>
      </c>
      <c r="D208">
        <v>50270</v>
      </c>
      <c r="G208">
        <v>150</v>
      </c>
      <c r="H208">
        <v>1954.12</v>
      </c>
    </row>
    <row r="209" spans="1:8" x14ac:dyDescent="0.2">
      <c r="A209" t="s">
        <v>782</v>
      </c>
      <c r="B209" t="s">
        <v>783</v>
      </c>
      <c r="C209" t="s">
        <v>784</v>
      </c>
      <c r="D209">
        <v>100231</v>
      </c>
      <c r="G209">
        <v>0</v>
      </c>
      <c r="H209">
        <v>0</v>
      </c>
    </row>
    <row r="210" spans="1:8" x14ac:dyDescent="0.2">
      <c r="A210" t="s">
        <v>785</v>
      </c>
      <c r="B210" t="s">
        <v>786</v>
      </c>
      <c r="C210" t="s">
        <v>787</v>
      </c>
      <c r="D210">
        <v>88</v>
      </c>
      <c r="G210">
        <v>0</v>
      </c>
      <c r="H210">
        <v>0</v>
      </c>
    </row>
    <row r="211" spans="1:8" x14ac:dyDescent="0.2">
      <c r="A211" t="s">
        <v>788</v>
      </c>
      <c r="B211" t="s">
        <v>789</v>
      </c>
      <c r="C211" t="s">
        <v>790</v>
      </c>
      <c r="D211">
        <v>36</v>
      </c>
      <c r="G211">
        <v>0</v>
      </c>
      <c r="H211">
        <v>0</v>
      </c>
    </row>
    <row r="212" spans="1:8" x14ac:dyDescent="0.2">
      <c r="A212" t="s">
        <v>791</v>
      </c>
      <c r="B212" t="s">
        <v>792</v>
      </c>
      <c r="C212" t="s">
        <v>793</v>
      </c>
      <c r="D212">
        <v>50098</v>
      </c>
      <c r="G212">
        <v>0</v>
      </c>
      <c r="H212">
        <v>2375</v>
      </c>
    </row>
    <row r="213" spans="1:8" x14ac:dyDescent="0.2">
      <c r="A213" t="s">
        <v>794</v>
      </c>
      <c r="B213" t="s">
        <v>795</v>
      </c>
      <c r="C213" t="s">
        <v>796</v>
      </c>
      <c r="D213">
        <v>50311</v>
      </c>
      <c r="G213">
        <v>0</v>
      </c>
      <c r="H213">
        <v>2750</v>
      </c>
    </row>
    <row r="214" spans="1:8" x14ac:dyDescent="0.2">
      <c r="A214" t="s">
        <v>797</v>
      </c>
      <c r="B214" t="s">
        <v>798</v>
      </c>
      <c r="C214" t="s">
        <v>799</v>
      </c>
      <c r="D214">
        <v>50047</v>
      </c>
      <c r="G214">
        <v>0</v>
      </c>
      <c r="H214">
        <v>2300</v>
      </c>
    </row>
    <row r="215" spans="1:8" x14ac:dyDescent="0.2">
      <c r="A215" t="s">
        <v>800</v>
      </c>
      <c r="B215" t="s">
        <v>801</v>
      </c>
      <c r="C215" t="s">
        <v>802</v>
      </c>
      <c r="D215">
        <v>73</v>
      </c>
      <c r="G215">
        <v>150</v>
      </c>
      <c r="H215">
        <v>1934.12</v>
      </c>
    </row>
    <row r="216" spans="1:8" x14ac:dyDescent="0.2">
      <c r="A216" t="s">
        <v>803</v>
      </c>
      <c r="B216" t="s">
        <v>804</v>
      </c>
      <c r="C216" t="s">
        <v>805</v>
      </c>
      <c r="D216">
        <v>50307</v>
      </c>
      <c r="G216">
        <v>200</v>
      </c>
      <c r="H216">
        <v>1877.65</v>
      </c>
    </row>
    <row r="217" spans="1:8" x14ac:dyDescent="0.2">
      <c r="A217" t="s">
        <v>806</v>
      </c>
      <c r="B217" t="s">
        <v>807</v>
      </c>
      <c r="C217" t="s">
        <v>808</v>
      </c>
      <c r="D217">
        <v>50148</v>
      </c>
      <c r="G217">
        <v>0</v>
      </c>
      <c r="H217">
        <v>0</v>
      </c>
    </row>
    <row r="218" spans="1:8" x14ac:dyDescent="0.2">
      <c r="A218" t="s">
        <v>809</v>
      </c>
      <c r="B218" t="s">
        <v>810</v>
      </c>
      <c r="C218" t="s">
        <v>811</v>
      </c>
      <c r="D218">
        <v>50376</v>
      </c>
      <c r="G218">
        <v>0</v>
      </c>
      <c r="H218">
        <v>0</v>
      </c>
    </row>
    <row r="219" spans="1:8" x14ac:dyDescent="0.2">
      <c r="A219" t="s">
        <v>812</v>
      </c>
      <c r="B219" t="s">
        <v>813</v>
      </c>
      <c r="C219" t="s">
        <v>814</v>
      </c>
      <c r="D219">
        <v>53</v>
      </c>
      <c r="G219">
        <v>0</v>
      </c>
      <c r="H219">
        <v>2082</v>
      </c>
    </row>
    <row r="220" spans="1:8" x14ac:dyDescent="0.2">
      <c r="A220" t="s">
        <v>815</v>
      </c>
      <c r="B220" t="s">
        <v>816</v>
      </c>
      <c r="C220" t="s">
        <v>817</v>
      </c>
      <c r="D220">
        <v>100155</v>
      </c>
      <c r="G220">
        <v>300</v>
      </c>
      <c r="H220">
        <v>3300</v>
      </c>
    </row>
    <row r="221" spans="1:8" x14ac:dyDescent="0.2">
      <c r="A221" t="s">
        <v>818</v>
      </c>
      <c r="B221" t="s">
        <v>819</v>
      </c>
      <c r="C221" t="s">
        <v>820</v>
      </c>
      <c r="D221">
        <v>100169</v>
      </c>
      <c r="G221">
        <v>0</v>
      </c>
      <c r="H221">
        <v>4033.88</v>
      </c>
    </row>
    <row r="222" spans="1:8" x14ac:dyDescent="0.2">
      <c r="A222" t="s">
        <v>821</v>
      </c>
      <c r="B222" t="s">
        <v>822</v>
      </c>
      <c r="C222" t="s">
        <v>823</v>
      </c>
      <c r="D222">
        <v>50217</v>
      </c>
      <c r="G222">
        <v>300</v>
      </c>
      <c r="H222">
        <v>2550</v>
      </c>
    </row>
    <row r="223" spans="1:8" x14ac:dyDescent="0.2">
      <c r="A223" t="s">
        <v>824</v>
      </c>
      <c r="B223" t="s">
        <v>825</v>
      </c>
      <c r="C223" t="s">
        <v>826</v>
      </c>
      <c r="D223">
        <v>100221</v>
      </c>
      <c r="G223">
        <v>200</v>
      </c>
      <c r="H223">
        <v>3600</v>
      </c>
    </row>
    <row r="224" spans="1:8" x14ac:dyDescent="0.2">
      <c r="A224" t="s">
        <v>827</v>
      </c>
      <c r="B224" t="s">
        <v>828</v>
      </c>
      <c r="C224" t="s">
        <v>829</v>
      </c>
      <c r="D224">
        <v>50395</v>
      </c>
      <c r="G224">
        <v>200</v>
      </c>
      <c r="H224">
        <v>1861.18</v>
      </c>
    </row>
    <row r="225" spans="1:8" x14ac:dyDescent="0.2">
      <c r="A225" t="s">
        <v>830</v>
      </c>
      <c r="B225" t="s">
        <v>831</v>
      </c>
      <c r="C225" t="s">
        <v>832</v>
      </c>
      <c r="D225">
        <v>50327</v>
      </c>
      <c r="G225">
        <v>200</v>
      </c>
      <c r="H225">
        <v>3250</v>
      </c>
    </row>
    <row r="226" spans="1:8" x14ac:dyDescent="0.2">
      <c r="A226" t="s">
        <v>833</v>
      </c>
      <c r="B226" t="s">
        <v>834</v>
      </c>
      <c r="C226" t="s">
        <v>336</v>
      </c>
      <c r="D226">
        <v>65</v>
      </c>
      <c r="G226">
        <v>0</v>
      </c>
      <c r="H226">
        <v>5710.93</v>
      </c>
    </row>
    <row r="227" spans="1:8" x14ac:dyDescent="0.2">
      <c r="A227" t="s">
        <v>835</v>
      </c>
      <c r="B227" t="s">
        <v>836</v>
      </c>
      <c r="C227" t="s">
        <v>837</v>
      </c>
      <c r="D227">
        <v>75</v>
      </c>
      <c r="G227">
        <v>0</v>
      </c>
      <c r="H227">
        <v>2350</v>
      </c>
    </row>
    <row r="228" spans="1:8" x14ac:dyDescent="0.2">
      <c r="A228" t="s">
        <v>838</v>
      </c>
      <c r="B228" t="s">
        <v>839</v>
      </c>
      <c r="C228" t="s">
        <v>840</v>
      </c>
      <c r="D228">
        <v>1</v>
      </c>
      <c r="G228">
        <v>0</v>
      </c>
      <c r="H228">
        <v>2053.7399999999998</v>
      </c>
    </row>
    <row r="229" spans="1:8" x14ac:dyDescent="0.2">
      <c r="A229" t="s">
        <v>841</v>
      </c>
      <c r="B229" t="s">
        <v>842</v>
      </c>
      <c r="C229" t="s">
        <v>843</v>
      </c>
      <c r="D229">
        <v>14</v>
      </c>
      <c r="G229">
        <v>150</v>
      </c>
      <c r="H229">
        <v>2160</v>
      </c>
    </row>
    <row r="230" spans="1:8" x14ac:dyDescent="0.2">
      <c r="A230" t="s">
        <v>844</v>
      </c>
      <c r="B230" t="s">
        <v>845</v>
      </c>
      <c r="C230" t="s">
        <v>846</v>
      </c>
      <c r="D230">
        <v>50275</v>
      </c>
      <c r="G230">
        <v>150</v>
      </c>
      <c r="H230">
        <v>2149.41</v>
      </c>
    </row>
    <row r="231" spans="1:8" x14ac:dyDescent="0.2">
      <c r="A231" t="s">
        <v>844</v>
      </c>
      <c r="B231" t="s">
        <v>847</v>
      </c>
      <c r="C231" t="s">
        <v>848</v>
      </c>
      <c r="D231">
        <v>100170</v>
      </c>
      <c r="G231">
        <v>150</v>
      </c>
      <c r="H231">
        <v>1937.65</v>
      </c>
    </row>
    <row r="232" spans="1:8" x14ac:dyDescent="0.2">
      <c r="A232" t="s">
        <v>849</v>
      </c>
      <c r="B232" t="s">
        <v>850</v>
      </c>
      <c r="C232" t="s">
        <v>851</v>
      </c>
      <c r="D232">
        <v>50248</v>
      </c>
      <c r="G232">
        <v>0</v>
      </c>
      <c r="H232">
        <v>2250</v>
      </c>
    </row>
    <row r="233" spans="1:8" x14ac:dyDescent="0.2">
      <c r="A233" t="s">
        <v>852</v>
      </c>
      <c r="B233" t="s">
        <v>853</v>
      </c>
      <c r="C233" t="s">
        <v>854</v>
      </c>
      <c r="D233">
        <v>50399</v>
      </c>
      <c r="G233">
        <v>250</v>
      </c>
      <c r="H233">
        <v>3325</v>
      </c>
    </row>
    <row r="234" spans="1:8" x14ac:dyDescent="0.2">
      <c r="A234" t="s">
        <v>855</v>
      </c>
      <c r="B234" t="s">
        <v>856</v>
      </c>
      <c r="C234" t="s">
        <v>857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858</v>
      </c>
      <c r="B235" t="s">
        <v>859</v>
      </c>
      <c r="C235" t="s">
        <v>860</v>
      </c>
      <c r="D235">
        <v>100173</v>
      </c>
      <c r="G235">
        <v>100</v>
      </c>
      <c r="H235">
        <v>2737.83</v>
      </c>
    </row>
    <row r="236" spans="1:8" x14ac:dyDescent="0.2">
      <c r="A236" t="s">
        <v>861</v>
      </c>
      <c r="B236" t="s">
        <v>862</v>
      </c>
      <c r="C236" t="s">
        <v>863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864</v>
      </c>
      <c r="B237" t="s">
        <v>865</v>
      </c>
      <c r="C237" t="s">
        <v>866</v>
      </c>
      <c r="D237">
        <v>50320</v>
      </c>
      <c r="G237">
        <v>250</v>
      </c>
      <c r="H237">
        <v>2909.6</v>
      </c>
    </row>
    <row r="238" spans="1:8" x14ac:dyDescent="0.2">
      <c r="A238" t="s">
        <v>867</v>
      </c>
      <c r="B238" t="s">
        <v>868</v>
      </c>
      <c r="C238" t="s">
        <v>869</v>
      </c>
      <c r="D238">
        <v>8</v>
      </c>
      <c r="G238">
        <v>250</v>
      </c>
      <c r="H238">
        <v>2909.6</v>
      </c>
    </row>
    <row r="239" spans="1:8" x14ac:dyDescent="0.2">
      <c r="A239" t="s">
        <v>870</v>
      </c>
      <c r="B239" t="s">
        <v>871</v>
      </c>
      <c r="C239" t="s">
        <v>872</v>
      </c>
      <c r="D239">
        <v>50306</v>
      </c>
      <c r="G239">
        <v>200</v>
      </c>
      <c r="H239">
        <v>3157.68</v>
      </c>
    </row>
    <row r="240" spans="1:8" x14ac:dyDescent="0.2">
      <c r="A240" t="s">
        <v>873</v>
      </c>
      <c r="B240" t="s">
        <v>874</v>
      </c>
      <c r="C240" t="s">
        <v>875</v>
      </c>
      <c r="D240">
        <v>49</v>
      </c>
      <c r="G240">
        <v>250</v>
      </c>
      <c r="H240">
        <v>2498.54</v>
      </c>
    </row>
    <row r="241" spans="1:8" x14ac:dyDescent="0.2">
      <c r="A241" t="s">
        <v>876</v>
      </c>
      <c r="B241" t="s">
        <v>877</v>
      </c>
      <c r="C241" t="s">
        <v>878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879</v>
      </c>
      <c r="B242" t="s">
        <v>880</v>
      </c>
      <c r="C242" t="s">
        <v>881</v>
      </c>
      <c r="D242">
        <v>50462</v>
      </c>
      <c r="G242">
        <v>0</v>
      </c>
      <c r="H242">
        <v>1450</v>
      </c>
    </row>
    <row r="243" spans="1:8" x14ac:dyDescent="0.2">
      <c r="A243" t="s">
        <v>882</v>
      </c>
      <c r="B243" t="s">
        <v>883</v>
      </c>
      <c r="C243" t="s">
        <v>884</v>
      </c>
      <c r="D243">
        <v>50001</v>
      </c>
      <c r="G243">
        <v>0</v>
      </c>
      <c r="H243">
        <v>2500</v>
      </c>
    </row>
    <row r="244" spans="1:8" x14ac:dyDescent="0.2">
      <c r="A244" t="s">
        <v>885</v>
      </c>
      <c r="B244" t="s">
        <v>886</v>
      </c>
      <c r="C244" t="s">
        <v>887</v>
      </c>
      <c r="D244">
        <v>50436</v>
      </c>
      <c r="G244">
        <v>260</v>
      </c>
      <c r="H244">
        <v>3608.79</v>
      </c>
    </row>
    <row r="245" spans="1:8" x14ac:dyDescent="0.2">
      <c r="A245" t="s">
        <v>888</v>
      </c>
      <c r="B245" t="s">
        <v>889</v>
      </c>
      <c r="C245" t="s">
        <v>890</v>
      </c>
      <c r="D245">
        <v>50364</v>
      </c>
      <c r="G245">
        <v>0</v>
      </c>
      <c r="H245">
        <v>3800</v>
      </c>
    </row>
    <row r="246" spans="1:8" x14ac:dyDescent="0.2">
      <c r="A246" t="s">
        <v>891</v>
      </c>
      <c r="B246" t="s">
        <v>892</v>
      </c>
      <c r="C246" t="s">
        <v>893</v>
      </c>
      <c r="D246">
        <v>50460</v>
      </c>
      <c r="G246">
        <v>0</v>
      </c>
      <c r="H246">
        <v>2498.4</v>
      </c>
    </row>
    <row r="247" spans="1:8" x14ac:dyDescent="0.2">
      <c r="A247" t="s">
        <v>894</v>
      </c>
      <c r="B247" t="s">
        <v>895</v>
      </c>
      <c r="C247" t="s">
        <v>896</v>
      </c>
      <c r="D247">
        <v>50194</v>
      </c>
      <c r="G247">
        <v>300</v>
      </c>
      <c r="H247">
        <v>2932.13</v>
      </c>
    </row>
    <row r="248" spans="1:8" x14ac:dyDescent="0.2">
      <c r="A248" t="s">
        <v>897</v>
      </c>
      <c r="B248" t="s">
        <v>898</v>
      </c>
      <c r="C248" t="s">
        <v>899</v>
      </c>
      <c r="D248">
        <v>100235</v>
      </c>
      <c r="G248">
        <v>0</v>
      </c>
      <c r="H248">
        <v>0</v>
      </c>
    </row>
    <row r="249" spans="1:8" x14ac:dyDescent="0.2">
      <c r="A249" t="s">
        <v>900</v>
      </c>
      <c r="B249" t="s">
        <v>901</v>
      </c>
      <c r="C249" t="s">
        <v>902</v>
      </c>
      <c r="D249">
        <v>50259</v>
      </c>
      <c r="G249">
        <v>0</v>
      </c>
      <c r="H249">
        <v>0</v>
      </c>
    </row>
    <row r="250" spans="1:8" x14ac:dyDescent="0.2">
      <c r="A250" t="s">
        <v>903</v>
      </c>
      <c r="B250" t="s">
        <v>904</v>
      </c>
      <c r="C250" t="s">
        <v>905</v>
      </c>
      <c r="D250">
        <v>100141</v>
      </c>
      <c r="G250">
        <v>0</v>
      </c>
      <c r="H250">
        <v>2450</v>
      </c>
    </row>
    <row r="251" spans="1:8" x14ac:dyDescent="0.2">
      <c r="A251" t="s">
        <v>906</v>
      </c>
      <c r="B251" t="s">
        <v>907</v>
      </c>
      <c r="C251" t="s">
        <v>908</v>
      </c>
      <c r="D251">
        <v>42</v>
      </c>
      <c r="G251">
        <v>0</v>
      </c>
      <c r="H251">
        <v>0</v>
      </c>
    </row>
    <row r="252" spans="1:8" x14ac:dyDescent="0.2">
      <c r="A252" t="s">
        <v>909</v>
      </c>
      <c r="B252" t="s">
        <v>910</v>
      </c>
      <c r="C252" t="s">
        <v>911</v>
      </c>
      <c r="D252">
        <v>61</v>
      </c>
      <c r="G252">
        <v>250</v>
      </c>
      <c r="H252">
        <v>2800</v>
      </c>
    </row>
    <row r="253" spans="1:8" x14ac:dyDescent="0.2">
      <c r="A253" t="s">
        <v>912</v>
      </c>
      <c r="B253" t="s">
        <v>913</v>
      </c>
      <c r="C253" t="s">
        <v>914</v>
      </c>
      <c r="D253">
        <v>50233</v>
      </c>
      <c r="G253">
        <v>0</v>
      </c>
      <c r="H253">
        <v>1436.58</v>
      </c>
    </row>
    <row r="254" spans="1:8" x14ac:dyDescent="0.2">
      <c r="A254" t="s">
        <v>915</v>
      </c>
      <c r="B254" t="s">
        <v>916</v>
      </c>
      <c r="C254" t="s">
        <v>917</v>
      </c>
      <c r="D254">
        <v>100259</v>
      </c>
      <c r="G254">
        <v>0</v>
      </c>
      <c r="H254">
        <v>0</v>
      </c>
    </row>
    <row r="255" spans="1:8" x14ac:dyDescent="0.2">
      <c r="A255" t="s">
        <v>918</v>
      </c>
      <c r="B255" t="s">
        <v>919</v>
      </c>
      <c r="C255" t="s">
        <v>920</v>
      </c>
      <c r="D255">
        <v>50314</v>
      </c>
      <c r="G255">
        <v>150</v>
      </c>
      <c r="H255">
        <v>1783.53</v>
      </c>
    </row>
    <row r="256" spans="1:8" x14ac:dyDescent="0.2">
      <c r="A256" t="s">
        <v>921</v>
      </c>
      <c r="B256" t="s">
        <v>922</v>
      </c>
      <c r="C256" t="s">
        <v>923</v>
      </c>
      <c r="D256">
        <v>50255</v>
      </c>
      <c r="G256">
        <v>0</v>
      </c>
      <c r="H256">
        <v>1700</v>
      </c>
    </row>
    <row r="257" spans="1:8" x14ac:dyDescent="0.2">
      <c r="A257" t="s">
        <v>924</v>
      </c>
      <c r="B257" t="s">
        <v>925</v>
      </c>
      <c r="C257" t="s">
        <v>926</v>
      </c>
      <c r="D257">
        <v>50196</v>
      </c>
      <c r="G257">
        <v>375</v>
      </c>
      <c r="H257">
        <v>1850</v>
      </c>
    </row>
    <row r="258" spans="1:8" x14ac:dyDescent="0.2">
      <c r="A258" t="s">
        <v>927</v>
      </c>
      <c r="B258" t="s">
        <v>928</v>
      </c>
      <c r="C258" t="s">
        <v>929</v>
      </c>
      <c r="D258">
        <v>28</v>
      </c>
      <c r="G258">
        <v>300</v>
      </c>
      <c r="H258">
        <v>2250</v>
      </c>
    </row>
    <row r="259" spans="1:8" x14ac:dyDescent="0.2">
      <c r="A259" t="s">
        <v>930</v>
      </c>
      <c r="B259" t="s">
        <v>931</v>
      </c>
      <c r="C259" t="s">
        <v>932</v>
      </c>
      <c r="D259">
        <v>50207</v>
      </c>
      <c r="G259">
        <v>0</v>
      </c>
      <c r="H259">
        <v>0</v>
      </c>
    </row>
    <row r="260" spans="1:8" x14ac:dyDescent="0.2">
      <c r="A260" t="s">
        <v>933</v>
      </c>
      <c r="B260" t="s">
        <v>934</v>
      </c>
      <c r="C260" t="s">
        <v>935</v>
      </c>
      <c r="D260">
        <v>50205</v>
      </c>
      <c r="G260">
        <v>0</v>
      </c>
      <c r="H260">
        <v>3275</v>
      </c>
    </row>
    <row r="261" spans="1:8" x14ac:dyDescent="0.2">
      <c r="A261" t="s">
        <v>936</v>
      </c>
      <c r="B261" t="s">
        <v>937</v>
      </c>
      <c r="C261" t="s">
        <v>938</v>
      </c>
      <c r="D261">
        <v>50100</v>
      </c>
      <c r="G261">
        <v>200</v>
      </c>
      <c r="H261">
        <v>1957.65</v>
      </c>
    </row>
    <row r="262" spans="1:8" x14ac:dyDescent="0.2">
      <c r="A262" t="s">
        <v>939</v>
      </c>
      <c r="B262" t="s">
        <v>940</v>
      </c>
      <c r="C262" t="s">
        <v>941</v>
      </c>
      <c r="D262">
        <v>50154</v>
      </c>
      <c r="G262">
        <v>300</v>
      </c>
      <c r="H262">
        <v>2169.06</v>
      </c>
    </row>
    <row r="263" spans="1:8" x14ac:dyDescent="0.2">
      <c r="A263" t="s">
        <v>942</v>
      </c>
      <c r="B263" t="s">
        <v>943</v>
      </c>
      <c r="C263" t="s">
        <v>944</v>
      </c>
      <c r="D263">
        <v>100250</v>
      </c>
      <c r="G263">
        <v>200</v>
      </c>
      <c r="H263">
        <v>0</v>
      </c>
    </row>
    <row r="264" spans="1:8" x14ac:dyDescent="0.2">
      <c r="A264" t="s">
        <v>945</v>
      </c>
      <c r="B264" t="s">
        <v>946</v>
      </c>
      <c r="C264" t="s">
        <v>947</v>
      </c>
      <c r="D264">
        <v>100224</v>
      </c>
      <c r="G264">
        <v>200</v>
      </c>
      <c r="H264">
        <v>0</v>
      </c>
    </row>
    <row r="265" spans="1:8" x14ac:dyDescent="0.2">
      <c r="A265" t="s">
        <v>948</v>
      </c>
      <c r="B265" t="s">
        <v>949</v>
      </c>
      <c r="C265" t="s">
        <v>950</v>
      </c>
      <c r="D265">
        <v>100212</v>
      </c>
      <c r="G265">
        <v>200</v>
      </c>
      <c r="H265">
        <v>0</v>
      </c>
    </row>
    <row r="266" spans="1:8" x14ac:dyDescent="0.2">
      <c r="A266" t="s">
        <v>951</v>
      </c>
      <c r="B266" t="s">
        <v>952</v>
      </c>
      <c r="C266" t="s">
        <v>368</v>
      </c>
      <c r="D266">
        <v>93</v>
      </c>
      <c r="G266">
        <v>150</v>
      </c>
      <c r="H266">
        <v>1816.47</v>
      </c>
    </row>
    <row r="267" spans="1:8" x14ac:dyDescent="0.2">
      <c r="A267" t="s">
        <v>953</v>
      </c>
      <c r="B267" t="s">
        <v>954</v>
      </c>
      <c r="C267" t="s">
        <v>955</v>
      </c>
      <c r="D267">
        <v>50398</v>
      </c>
      <c r="G267">
        <v>150</v>
      </c>
      <c r="H267">
        <v>1834.12</v>
      </c>
    </row>
    <row r="268" spans="1:8" x14ac:dyDescent="0.2">
      <c r="A268" t="s">
        <v>956</v>
      </c>
      <c r="B268" t="s">
        <v>957</v>
      </c>
      <c r="C268" t="s">
        <v>958</v>
      </c>
      <c r="D268">
        <v>50441</v>
      </c>
      <c r="G268">
        <v>350</v>
      </c>
      <c r="H268">
        <v>2900</v>
      </c>
    </row>
    <row r="269" spans="1:8" x14ac:dyDescent="0.2">
      <c r="A269" t="s">
        <v>959</v>
      </c>
      <c r="B269" t="s">
        <v>960</v>
      </c>
      <c r="C269" t="s">
        <v>961</v>
      </c>
      <c r="D269">
        <v>50130</v>
      </c>
      <c r="G269">
        <v>0</v>
      </c>
      <c r="H269">
        <v>3275</v>
      </c>
    </row>
    <row r="270" spans="1:8" x14ac:dyDescent="0.2">
      <c r="A270" t="s">
        <v>962</v>
      </c>
      <c r="B270" t="s">
        <v>963</v>
      </c>
      <c r="C270" t="s">
        <v>964</v>
      </c>
      <c r="D270">
        <v>71</v>
      </c>
      <c r="G270">
        <v>0</v>
      </c>
      <c r="H270">
        <v>2663.43</v>
      </c>
    </row>
    <row r="271" spans="1:8" x14ac:dyDescent="0.2">
      <c r="A271" t="s">
        <v>965</v>
      </c>
      <c r="B271" t="s">
        <v>966</v>
      </c>
      <c r="C271" t="s">
        <v>372</v>
      </c>
      <c r="D271">
        <v>100121</v>
      </c>
      <c r="G271">
        <v>300</v>
      </c>
      <c r="H271">
        <v>3250</v>
      </c>
    </row>
    <row r="272" spans="1:8" x14ac:dyDescent="0.2">
      <c r="A272" t="s">
        <v>967</v>
      </c>
      <c r="B272" t="s">
        <v>968</v>
      </c>
      <c r="C272" t="s">
        <v>969</v>
      </c>
      <c r="D272">
        <v>100260</v>
      </c>
      <c r="G272">
        <v>150</v>
      </c>
      <c r="H272">
        <v>1600</v>
      </c>
    </row>
    <row r="273" spans="1:8" x14ac:dyDescent="0.2">
      <c r="A273" t="s">
        <v>970</v>
      </c>
      <c r="B273" t="s">
        <v>971</v>
      </c>
      <c r="C273" t="s">
        <v>972</v>
      </c>
      <c r="D273">
        <v>50430</v>
      </c>
      <c r="G273">
        <v>250</v>
      </c>
      <c r="H273">
        <v>2082</v>
      </c>
    </row>
    <row r="274" spans="1:8" x14ac:dyDescent="0.2">
      <c r="A274" t="s">
        <v>973</v>
      </c>
      <c r="B274" t="s">
        <v>974</v>
      </c>
      <c r="C274" t="s">
        <v>975</v>
      </c>
      <c r="D274">
        <v>100172</v>
      </c>
      <c r="G274">
        <v>0</v>
      </c>
      <c r="H274">
        <v>3500</v>
      </c>
    </row>
    <row r="275" spans="1:8" x14ac:dyDescent="0.2">
      <c r="A275" t="s">
        <v>976</v>
      </c>
      <c r="B275" t="s">
        <v>977</v>
      </c>
      <c r="C275" t="s">
        <v>384</v>
      </c>
      <c r="D275">
        <v>50381</v>
      </c>
      <c r="G275">
        <v>150</v>
      </c>
      <c r="H275">
        <v>2056.4699999999998</v>
      </c>
    </row>
    <row r="276" spans="1:8" x14ac:dyDescent="0.2">
      <c r="A276" t="s">
        <v>978</v>
      </c>
      <c r="B276" t="s">
        <v>979</v>
      </c>
      <c r="C276" t="s">
        <v>980</v>
      </c>
      <c r="D276">
        <v>50408</v>
      </c>
      <c r="G276">
        <v>250</v>
      </c>
      <c r="H276">
        <v>0</v>
      </c>
    </row>
    <row r="277" spans="1:8" x14ac:dyDescent="0.2">
      <c r="A277" t="s">
        <v>981</v>
      </c>
      <c r="B277" t="s">
        <v>982</v>
      </c>
      <c r="C277" t="s">
        <v>983</v>
      </c>
      <c r="D277">
        <v>50298</v>
      </c>
      <c r="G277">
        <v>0</v>
      </c>
      <c r="H277">
        <v>0</v>
      </c>
    </row>
    <row r="278" spans="1:8" x14ac:dyDescent="0.2">
      <c r="A278" t="s">
        <v>984</v>
      </c>
      <c r="B278" t="s">
        <v>985</v>
      </c>
      <c r="C278" t="s">
        <v>986</v>
      </c>
      <c r="D278">
        <v>50138</v>
      </c>
      <c r="G278">
        <v>250</v>
      </c>
      <c r="H278">
        <v>0</v>
      </c>
    </row>
    <row r="279" spans="1:8" x14ac:dyDescent="0.2">
      <c r="A279" t="s">
        <v>987</v>
      </c>
      <c r="B279" t="s">
        <v>988</v>
      </c>
      <c r="C279" t="s">
        <v>989</v>
      </c>
      <c r="D279">
        <v>54</v>
      </c>
      <c r="G279">
        <v>0</v>
      </c>
      <c r="H279">
        <v>2663.43</v>
      </c>
    </row>
    <row r="280" spans="1:8" x14ac:dyDescent="0.2">
      <c r="A280" t="s">
        <v>990</v>
      </c>
      <c r="B280" t="s">
        <v>991</v>
      </c>
      <c r="C280" t="s">
        <v>992</v>
      </c>
      <c r="D280">
        <v>50161</v>
      </c>
      <c r="G280">
        <v>0</v>
      </c>
      <c r="H280">
        <v>3383.25</v>
      </c>
    </row>
    <row r="281" spans="1:8" x14ac:dyDescent="0.2">
      <c r="A281" t="s">
        <v>993</v>
      </c>
      <c r="B281" t="s">
        <v>994</v>
      </c>
      <c r="C281" t="s">
        <v>995</v>
      </c>
      <c r="D281">
        <v>70</v>
      </c>
      <c r="G281">
        <v>400</v>
      </c>
      <c r="H281">
        <v>0</v>
      </c>
    </row>
    <row r="282" spans="1:8" x14ac:dyDescent="0.2">
      <c r="A282" t="s">
        <v>996</v>
      </c>
      <c r="B282" t="s">
        <v>997</v>
      </c>
      <c r="C282" t="s">
        <v>998</v>
      </c>
      <c r="D282">
        <v>50297</v>
      </c>
      <c r="G282">
        <v>0</v>
      </c>
      <c r="H282">
        <v>2250</v>
      </c>
    </row>
    <row r="283" spans="1:8" x14ac:dyDescent="0.2">
      <c r="A283" t="s">
        <v>999</v>
      </c>
      <c r="B283" t="s">
        <v>1000</v>
      </c>
      <c r="C283" t="s">
        <v>1001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1002</v>
      </c>
      <c r="B284" t="s">
        <v>1003</v>
      </c>
      <c r="C284" t="s">
        <v>1004</v>
      </c>
      <c r="D284">
        <v>100153</v>
      </c>
      <c r="G284">
        <v>100</v>
      </c>
      <c r="H284">
        <v>1503.32</v>
      </c>
    </row>
    <row r="285" spans="1:8" x14ac:dyDescent="0.2">
      <c r="A285" t="s">
        <v>1005</v>
      </c>
      <c r="B285" t="s">
        <v>1006</v>
      </c>
      <c r="C285" t="s">
        <v>1007</v>
      </c>
      <c r="D285">
        <v>100176</v>
      </c>
      <c r="G285">
        <v>100</v>
      </c>
      <c r="H285">
        <v>1503.32</v>
      </c>
    </row>
    <row r="286" spans="1:8" x14ac:dyDescent="0.2">
      <c r="A286" t="s">
        <v>1008</v>
      </c>
      <c r="B286" t="s">
        <v>1009</v>
      </c>
      <c r="C286" t="s">
        <v>1010</v>
      </c>
      <c r="D286">
        <v>5</v>
      </c>
      <c r="G286">
        <v>100</v>
      </c>
      <c r="H286">
        <v>1503.32</v>
      </c>
    </row>
    <row r="287" spans="1:8" x14ac:dyDescent="0.2">
      <c r="A287" t="s">
        <v>1011</v>
      </c>
      <c r="B287" t="s">
        <v>1012</v>
      </c>
      <c r="C287" t="s">
        <v>1013</v>
      </c>
      <c r="D287">
        <v>50310</v>
      </c>
      <c r="G287">
        <v>150</v>
      </c>
      <c r="H287">
        <v>2255</v>
      </c>
    </row>
    <row r="288" spans="1:8" x14ac:dyDescent="0.2">
      <c r="A288" t="s">
        <v>1014</v>
      </c>
      <c r="B288" t="s">
        <v>1015</v>
      </c>
      <c r="C288" t="s">
        <v>1016</v>
      </c>
      <c r="D288">
        <v>50104</v>
      </c>
      <c r="G288">
        <v>150</v>
      </c>
      <c r="H288">
        <v>2255</v>
      </c>
    </row>
    <row r="289" spans="1:8" x14ac:dyDescent="0.2">
      <c r="A289" t="s">
        <v>1017</v>
      </c>
      <c r="B289" t="s">
        <v>1018</v>
      </c>
      <c r="C289" t="s">
        <v>1019</v>
      </c>
      <c r="D289">
        <v>32</v>
      </c>
      <c r="G289">
        <v>150</v>
      </c>
      <c r="H289">
        <v>2255</v>
      </c>
    </row>
    <row r="290" spans="1:8" x14ac:dyDescent="0.2">
      <c r="A290" t="s">
        <v>1020</v>
      </c>
      <c r="B290" t="s">
        <v>1021</v>
      </c>
      <c r="C290" t="s">
        <v>1022</v>
      </c>
      <c r="D290">
        <v>50179</v>
      </c>
      <c r="G290">
        <v>150</v>
      </c>
      <c r="H290">
        <v>2255</v>
      </c>
    </row>
    <row r="291" spans="1:8" x14ac:dyDescent="0.2">
      <c r="A291" t="s">
        <v>1023</v>
      </c>
      <c r="B291" t="s">
        <v>1024</v>
      </c>
      <c r="C291" t="s">
        <v>1025</v>
      </c>
      <c r="D291">
        <v>100102</v>
      </c>
      <c r="G291">
        <v>100</v>
      </c>
      <c r="H291">
        <v>1503.32</v>
      </c>
    </row>
    <row r="292" spans="1:8" x14ac:dyDescent="0.2">
      <c r="A292" t="s">
        <v>1026</v>
      </c>
      <c r="B292" t="s">
        <v>1027</v>
      </c>
      <c r="C292" t="s">
        <v>432</v>
      </c>
      <c r="D292">
        <v>6</v>
      </c>
      <c r="G292">
        <v>150</v>
      </c>
      <c r="H292">
        <v>2300</v>
      </c>
    </row>
    <row r="293" spans="1:8" x14ac:dyDescent="0.2">
      <c r="A293" t="s">
        <v>1028</v>
      </c>
      <c r="B293" t="s">
        <v>1029</v>
      </c>
      <c r="C293" t="s">
        <v>1030</v>
      </c>
      <c r="D293">
        <v>50264</v>
      </c>
      <c r="G293">
        <v>150</v>
      </c>
      <c r="H293">
        <v>2255</v>
      </c>
    </row>
    <row r="294" spans="1:8" x14ac:dyDescent="0.2">
      <c r="A294" t="s">
        <v>1031</v>
      </c>
      <c r="B294" t="s">
        <v>1032</v>
      </c>
      <c r="C294" t="s">
        <v>1033</v>
      </c>
      <c r="D294">
        <v>100234</v>
      </c>
      <c r="G294">
        <v>0</v>
      </c>
      <c r="H294">
        <v>3275</v>
      </c>
    </row>
    <row r="295" spans="1:8" x14ac:dyDescent="0.2">
      <c r="A295" t="s">
        <v>1034</v>
      </c>
      <c r="B295" t="s">
        <v>1035</v>
      </c>
      <c r="C295" t="s">
        <v>1036</v>
      </c>
      <c r="D295">
        <v>26</v>
      </c>
      <c r="G295">
        <v>150</v>
      </c>
      <c r="H295">
        <v>3500</v>
      </c>
    </row>
    <row r="296" spans="1:8" x14ac:dyDescent="0.2">
      <c r="A296" t="s">
        <v>1037</v>
      </c>
      <c r="B296" t="s">
        <v>1038</v>
      </c>
      <c r="C296" t="s">
        <v>1039</v>
      </c>
      <c r="D296">
        <v>23</v>
      </c>
      <c r="G296">
        <v>250</v>
      </c>
      <c r="H296">
        <v>2850</v>
      </c>
    </row>
    <row r="297" spans="1:8" x14ac:dyDescent="0.2">
      <c r="A297" t="s">
        <v>1040</v>
      </c>
      <c r="B297" t="s">
        <v>1041</v>
      </c>
      <c r="C297" t="s">
        <v>444</v>
      </c>
      <c r="D297">
        <v>100150</v>
      </c>
      <c r="G297">
        <v>0</v>
      </c>
      <c r="H297">
        <v>2516.83</v>
      </c>
    </row>
    <row r="298" spans="1:8" x14ac:dyDescent="0.2">
      <c r="A298" t="s">
        <v>1042</v>
      </c>
      <c r="B298" t="s">
        <v>1043</v>
      </c>
      <c r="C298" t="s">
        <v>1044</v>
      </c>
      <c r="D298">
        <v>67</v>
      </c>
      <c r="G298">
        <v>200</v>
      </c>
      <c r="H298">
        <v>2040</v>
      </c>
    </row>
    <row r="299" spans="1:8" x14ac:dyDescent="0.2">
      <c r="A299" t="s">
        <v>1045</v>
      </c>
      <c r="B299" t="s">
        <v>1046</v>
      </c>
      <c r="C299" t="s">
        <v>1047</v>
      </c>
      <c r="D299">
        <v>47</v>
      </c>
      <c r="G299">
        <v>200</v>
      </c>
      <c r="H299">
        <v>2175.29</v>
      </c>
    </row>
    <row r="300" spans="1:8" x14ac:dyDescent="0.2">
      <c r="A300" t="s">
        <v>1048</v>
      </c>
      <c r="B300" t="s">
        <v>1049</v>
      </c>
      <c r="C300" t="s">
        <v>1050</v>
      </c>
      <c r="D300">
        <v>100179</v>
      </c>
      <c r="G300">
        <v>0</v>
      </c>
      <c r="H300">
        <v>0</v>
      </c>
    </row>
    <row r="301" spans="1:8" x14ac:dyDescent="0.2">
      <c r="A301" t="s">
        <v>1051</v>
      </c>
      <c r="B301" t="s">
        <v>1052</v>
      </c>
      <c r="C301" t="s">
        <v>1053</v>
      </c>
      <c r="D301">
        <v>100128</v>
      </c>
      <c r="G301">
        <v>0</v>
      </c>
      <c r="H301">
        <v>0</v>
      </c>
    </row>
    <row r="302" spans="1:8" x14ac:dyDescent="0.2">
      <c r="A302" t="s">
        <v>1054</v>
      </c>
      <c r="B302" t="s">
        <v>1055</v>
      </c>
      <c r="C302" t="s">
        <v>1056</v>
      </c>
      <c r="D302">
        <v>50261</v>
      </c>
      <c r="G302">
        <v>0</v>
      </c>
      <c r="H302">
        <v>0</v>
      </c>
    </row>
    <row r="303" spans="1:8" x14ac:dyDescent="0.2">
      <c r="A303" t="s">
        <v>1057</v>
      </c>
      <c r="B303" t="s">
        <v>1058</v>
      </c>
      <c r="C303" t="s">
        <v>1059</v>
      </c>
      <c r="D303">
        <v>21</v>
      </c>
      <c r="G303">
        <v>300</v>
      </c>
      <c r="H303">
        <v>2950</v>
      </c>
    </row>
    <row r="304" spans="1:8" x14ac:dyDescent="0.2">
      <c r="A304" t="s">
        <v>1060</v>
      </c>
      <c r="B304" t="s">
        <v>1061</v>
      </c>
      <c r="C304" t="s">
        <v>1062</v>
      </c>
      <c r="D304">
        <v>100190</v>
      </c>
      <c r="G304">
        <v>0</v>
      </c>
      <c r="H304">
        <v>3275</v>
      </c>
    </row>
    <row r="305" spans="1:8" x14ac:dyDescent="0.2">
      <c r="A305" t="s">
        <v>1063</v>
      </c>
      <c r="B305" t="s">
        <v>1064</v>
      </c>
      <c r="C305" t="s">
        <v>1065</v>
      </c>
      <c r="D305">
        <v>100200</v>
      </c>
      <c r="G305">
        <v>0</v>
      </c>
      <c r="H305">
        <v>3250</v>
      </c>
    </row>
    <row r="306" spans="1:8" x14ac:dyDescent="0.2">
      <c r="A306" t="s">
        <v>1066</v>
      </c>
      <c r="B306" t="s">
        <v>1067</v>
      </c>
      <c r="C306" t="s">
        <v>1068</v>
      </c>
      <c r="D306">
        <v>50461</v>
      </c>
      <c r="G306">
        <v>0</v>
      </c>
      <c r="H306">
        <v>0</v>
      </c>
    </row>
    <row r="307" spans="1:8" x14ac:dyDescent="0.2">
      <c r="A307" t="s">
        <v>1069</v>
      </c>
      <c r="B307" t="s">
        <v>1070</v>
      </c>
      <c r="C307" t="s">
        <v>1071</v>
      </c>
      <c r="D307">
        <v>66</v>
      </c>
      <c r="G307">
        <v>0</v>
      </c>
      <c r="H307">
        <v>2275</v>
      </c>
    </row>
    <row r="308" spans="1:8" x14ac:dyDescent="0.2">
      <c r="A308" t="s">
        <v>1072</v>
      </c>
      <c r="B308" t="s">
        <v>1073</v>
      </c>
      <c r="C308" t="s">
        <v>1074</v>
      </c>
      <c r="D308">
        <v>50200</v>
      </c>
      <c r="G308">
        <v>150</v>
      </c>
      <c r="H308">
        <v>0</v>
      </c>
    </row>
    <row r="309" spans="1:8" x14ac:dyDescent="0.2">
      <c r="A309" t="s">
        <v>1075</v>
      </c>
      <c r="B309" t="s">
        <v>1076</v>
      </c>
      <c r="C309" t="s">
        <v>1077</v>
      </c>
      <c r="D309">
        <v>98</v>
      </c>
      <c r="G309">
        <v>150</v>
      </c>
      <c r="H309">
        <v>0</v>
      </c>
    </row>
    <row r="310" spans="1:8" x14ac:dyDescent="0.2">
      <c r="A310" t="s">
        <v>1078</v>
      </c>
      <c r="B310" t="s">
        <v>1079</v>
      </c>
      <c r="C310" t="s">
        <v>1080</v>
      </c>
      <c r="D310">
        <v>77</v>
      </c>
      <c r="G310">
        <v>150</v>
      </c>
      <c r="H310">
        <v>0</v>
      </c>
    </row>
    <row r="311" spans="1:8" x14ac:dyDescent="0.2">
      <c r="A311" t="s">
        <v>1081</v>
      </c>
      <c r="B311" t="s">
        <v>1082</v>
      </c>
      <c r="C311" t="s">
        <v>1083</v>
      </c>
      <c r="D311">
        <v>50149</v>
      </c>
      <c r="G311">
        <v>150</v>
      </c>
      <c r="H311">
        <v>0</v>
      </c>
    </row>
    <row r="312" spans="1:8" x14ac:dyDescent="0.2">
      <c r="A312" t="s">
        <v>1084</v>
      </c>
      <c r="B312" t="s">
        <v>1085</v>
      </c>
      <c r="C312" t="s">
        <v>1086</v>
      </c>
      <c r="D312">
        <v>50292</v>
      </c>
      <c r="G312">
        <v>0</v>
      </c>
      <c r="H312">
        <v>0</v>
      </c>
    </row>
    <row r="313" spans="1:8" x14ac:dyDescent="0.2">
      <c r="A313" t="s">
        <v>1087</v>
      </c>
      <c r="B313" t="s">
        <v>1088</v>
      </c>
      <c r="C313" t="s">
        <v>472</v>
      </c>
      <c r="D313">
        <v>50185</v>
      </c>
      <c r="G313">
        <v>250</v>
      </c>
      <c r="H313">
        <v>2300</v>
      </c>
    </row>
    <row r="314" spans="1:8" x14ac:dyDescent="0.2">
      <c r="A314" t="s">
        <v>1089</v>
      </c>
      <c r="B314" t="s">
        <v>1090</v>
      </c>
      <c r="C314" t="s">
        <v>475</v>
      </c>
      <c r="D314">
        <v>50166</v>
      </c>
      <c r="G314">
        <v>300</v>
      </c>
      <c r="H314">
        <v>2855.46</v>
      </c>
    </row>
    <row r="315" spans="1:8" x14ac:dyDescent="0.2">
      <c r="A315" t="s">
        <v>1091</v>
      </c>
      <c r="B315" t="s">
        <v>1092</v>
      </c>
      <c r="C315" t="s">
        <v>1093</v>
      </c>
      <c r="D315">
        <v>90</v>
      </c>
      <c r="G315">
        <v>0</v>
      </c>
      <c r="H315">
        <v>0</v>
      </c>
    </row>
    <row r="316" spans="1:8" x14ac:dyDescent="0.2">
      <c r="A316" t="s">
        <v>1094</v>
      </c>
      <c r="B316" t="s">
        <v>1095</v>
      </c>
      <c r="C316" t="s">
        <v>1096</v>
      </c>
      <c r="D316">
        <v>4</v>
      </c>
      <c r="G316">
        <v>300</v>
      </c>
      <c r="H316">
        <v>2350</v>
      </c>
    </row>
    <row r="317" spans="1:8" x14ac:dyDescent="0.2">
      <c r="A317" t="s">
        <v>1097</v>
      </c>
      <c r="B317" t="s">
        <v>1098</v>
      </c>
      <c r="C317" t="s">
        <v>1099</v>
      </c>
      <c r="D317">
        <v>50312</v>
      </c>
      <c r="G317">
        <v>0</v>
      </c>
      <c r="H317">
        <v>2150</v>
      </c>
    </row>
    <row r="318" spans="1:8" x14ac:dyDescent="0.2">
      <c r="A318" t="s">
        <v>1100</v>
      </c>
      <c r="B318" t="s">
        <v>1101</v>
      </c>
      <c r="C318" t="s">
        <v>1102</v>
      </c>
      <c r="D318">
        <v>50199</v>
      </c>
      <c r="G318">
        <v>0</v>
      </c>
      <c r="H318">
        <v>0</v>
      </c>
    </row>
    <row r="319" spans="1:8" x14ac:dyDescent="0.2">
      <c r="A319" t="s">
        <v>1103</v>
      </c>
      <c r="B319" t="s">
        <v>1104</v>
      </c>
      <c r="C319" t="s">
        <v>1105</v>
      </c>
      <c r="D319">
        <v>50080</v>
      </c>
      <c r="G319">
        <v>0</v>
      </c>
      <c r="H319">
        <v>0</v>
      </c>
    </row>
    <row r="320" spans="1:8" x14ac:dyDescent="0.2">
      <c r="A320" t="s">
        <v>1106</v>
      </c>
      <c r="B320" t="s">
        <v>1107</v>
      </c>
      <c r="C320" t="s">
        <v>1108</v>
      </c>
      <c r="D320">
        <v>33</v>
      </c>
      <c r="G320">
        <v>0</v>
      </c>
      <c r="H320">
        <v>0</v>
      </c>
    </row>
    <row r="321" spans="1:8" x14ac:dyDescent="0.2">
      <c r="A321" t="s">
        <v>1109</v>
      </c>
      <c r="B321" t="s">
        <v>1110</v>
      </c>
      <c r="C321" t="s">
        <v>1111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1112</v>
      </c>
      <c r="B322" t="s">
        <v>1113</v>
      </c>
      <c r="C322" t="s">
        <v>1114</v>
      </c>
      <c r="D322">
        <v>50444</v>
      </c>
      <c r="G322">
        <v>0</v>
      </c>
      <c r="H322">
        <v>2053.7399999999998</v>
      </c>
    </row>
    <row r="323" spans="1:8" x14ac:dyDescent="0.2">
      <c r="A323" t="s">
        <v>1115</v>
      </c>
      <c r="B323" t="s">
        <v>1116</v>
      </c>
      <c r="C323" t="s">
        <v>1117</v>
      </c>
      <c r="D323">
        <v>50285</v>
      </c>
      <c r="G323">
        <v>0</v>
      </c>
      <c r="H323">
        <v>0</v>
      </c>
    </row>
    <row r="324" spans="1:8" x14ac:dyDescent="0.2">
      <c r="A324" t="s">
        <v>1118</v>
      </c>
      <c r="B324" t="s">
        <v>1119</v>
      </c>
      <c r="C324" t="s">
        <v>1120</v>
      </c>
      <c r="D324">
        <v>50334</v>
      </c>
      <c r="G324">
        <v>0</v>
      </c>
      <c r="H324">
        <v>6282.85</v>
      </c>
    </row>
    <row r="325" spans="1:8" x14ac:dyDescent="0.2">
      <c r="A325" t="s">
        <v>1121</v>
      </c>
      <c r="B325" t="s">
        <v>1122</v>
      </c>
      <c r="C325" t="s">
        <v>1123</v>
      </c>
      <c r="D325">
        <v>50265</v>
      </c>
      <c r="G325">
        <v>300</v>
      </c>
      <c r="H325">
        <v>3500</v>
      </c>
    </row>
    <row r="326" spans="1:8" x14ac:dyDescent="0.2">
      <c r="A326" t="s">
        <v>1124</v>
      </c>
      <c r="B326" t="s">
        <v>1125</v>
      </c>
      <c r="C326" t="s">
        <v>1126</v>
      </c>
      <c r="D326">
        <v>24</v>
      </c>
      <c r="G326">
        <v>0</v>
      </c>
      <c r="H326">
        <v>3123</v>
      </c>
    </row>
    <row r="327" spans="1:8" x14ac:dyDescent="0.2">
      <c r="A327" t="s">
        <v>1127</v>
      </c>
      <c r="B327" t="s">
        <v>1128</v>
      </c>
      <c r="C327" t="s">
        <v>1129</v>
      </c>
      <c r="D327">
        <v>100096</v>
      </c>
      <c r="G327">
        <v>0</v>
      </c>
      <c r="H327">
        <v>1830.43</v>
      </c>
    </row>
    <row r="328" spans="1:8" x14ac:dyDescent="0.2">
      <c r="A328" t="s">
        <v>1130</v>
      </c>
      <c r="B328" t="s">
        <v>1131</v>
      </c>
      <c r="C328" t="s">
        <v>1132</v>
      </c>
      <c r="D328">
        <v>100126</v>
      </c>
      <c r="G328">
        <v>200</v>
      </c>
      <c r="H328">
        <v>1784.67</v>
      </c>
    </row>
    <row r="329" spans="1:8" x14ac:dyDescent="0.2">
      <c r="A329" t="s">
        <v>1133</v>
      </c>
      <c r="B329" t="s">
        <v>1134</v>
      </c>
      <c r="C329" t="s">
        <v>1135</v>
      </c>
      <c r="D329">
        <v>20</v>
      </c>
      <c r="G329">
        <v>250</v>
      </c>
      <c r="H329">
        <v>2500</v>
      </c>
    </row>
    <row r="330" spans="1:8" x14ac:dyDescent="0.2">
      <c r="A330" t="s">
        <v>1136</v>
      </c>
      <c r="B330" t="s">
        <v>1137</v>
      </c>
      <c r="C330" t="s">
        <v>1138</v>
      </c>
      <c r="D330">
        <v>50368</v>
      </c>
      <c r="G330">
        <v>0</v>
      </c>
      <c r="H330">
        <v>0</v>
      </c>
    </row>
    <row r="331" spans="1:8" x14ac:dyDescent="0.2">
      <c r="A331" t="s">
        <v>1139</v>
      </c>
      <c r="B331" t="s">
        <v>1140</v>
      </c>
      <c r="C331" t="s">
        <v>1141</v>
      </c>
      <c r="D331">
        <v>100152</v>
      </c>
      <c r="G331">
        <v>400</v>
      </c>
      <c r="H331">
        <v>3800</v>
      </c>
    </row>
    <row r="332" spans="1:8" x14ac:dyDescent="0.2">
      <c r="A332" t="s">
        <v>1142</v>
      </c>
      <c r="B332" t="s">
        <v>1143</v>
      </c>
      <c r="C332" t="s">
        <v>1144</v>
      </c>
      <c r="D332">
        <v>50335</v>
      </c>
      <c r="G332">
        <v>250</v>
      </c>
      <c r="H332">
        <v>2498.4</v>
      </c>
    </row>
    <row r="333" spans="1:8" x14ac:dyDescent="0.2">
      <c r="A333" t="s">
        <v>1145</v>
      </c>
      <c r="B333" t="s">
        <v>1146</v>
      </c>
      <c r="C333" t="s">
        <v>1147</v>
      </c>
      <c r="D333">
        <v>100154</v>
      </c>
      <c r="G333">
        <v>0</v>
      </c>
      <c r="H333">
        <v>2234.29</v>
      </c>
    </row>
    <row r="334" spans="1:8" x14ac:dyDescent="0.2">
      <c r="A334" t="s">
        <v>1148</v>
      </c>
      <c r="B334" t="s">
        <v>1149</v>
      </c>
      <c r="C334" t="s">
        <v>1150</v>
      </c>
      <c r="D334">
        <v>92</v>
      </c>
      <c r="G334">
        <v>250</v>
      </c>
      <c r="H334">
        <v>2300</v>
      </c>
    </row>
    <row r="335" spans="1:8" x14ac:dyDescent="0.2">
      <c r="A335" t="s">
        <v>1151</v>
      </c>
      <c r="B335" t="s">
        <v>1152</v>
      </c>
      <c r="C335" t="s">
        <v>1150</v>
      </c>
      <c r="D335">
        <v>50445</v>
      </c>
      <c r="G335">
        <v>0</v>
      </c>
      <c r="H335">
        <v>1560</v>
      </c>
    </row>
    <row r="336" spans="1:8" x14ac:dyDescent="0.2">
      <c r="A336" t="s">
        <v>1153</v>
      </c>
      <c r="B336" t="s">
        <v>1154</v>
      </c>
      <c r="C336" t="s">
        <v>1155</v>
      </c>
      <c r="D336">
        <v>50338</v>
      </c>
      <c r="G336">
        <v>400</v>
      </c>
      <c r="H336">
        <v>1710.59</v>
      </c>
    </row>
    <row r="337" spans="1:8" x14ac:dyDescent="0.2">
      <c r="A337" t="s">
        <v>1156</v>
      </c>
      <c r="B337" t="s">
        <v>1157</v>
      </c>
      <c r="C337" t="s">
        <v>1158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1159</v>
      </c>
      <c r="B338" t="s">
        <v>1160</v>
      </c>
      <c r="C338" t="s">
        <v>1161</v>
      </c>
      <c r="D338">
        <v>100183</v>
      </c>
      <c r="G338">
        <v>0</v>
      </c>
      <c r="H338">
        <v>2100</v>
      </c>
    </row>
    <row r="339" spans="1:8" x14ac:dyDescent="0.2">
      <c r="A339" t="s">
        <v>1162</v>
      </c>
      <c r="B339" t="s">
        <v>1163</v>
      </c>
      <c r="C339" t="s">
        <v>1164</v>
      </c>
      <c r="D339">
        <v>16</v>
      </c>
      <c r="G339">
        <v>0</v>
      </c>
      <c r="H339">
        <v>2449.11</v>
      </c>
    </row>
    <row r="340" spans="1:8" x14ac:dyDescent="0.2">
      <c r="A340" t="s">
        <v>1165</v>
      </c>
      <c r="B340" t="s">
        <v>1166</v>
      </c>
      <c r="C340" t="s">
        <v>1167</v>
      </c>
      <c r="D340">
        <v>50144</v>
      </c>
      <c r="G340">
        <v>0</v>
      </c>
      <c r="H340">
        <v>2498.54</v>
      </c>
    </row>
    <row r="341" spans="1:8" x14ac:dyDescent="0.2">
      <c r="A341" t="s">
        <v>1168</v>
      </c>
      <c r="B341" t="s">
        <v>1169</v>
      </c>
      <c r="C341" t="s">
        <v>1170</v>
      </c>
      <c r="D341">
        <v>69</v>
      </c>
      <c r="G341">
        <v>300</v>
      </c>
      <c r="H341">
        <v>2650</v>
      </c>
    </row>
    <row r="342" spans="1:8" x14ac:dyDescent="0.2">
      <c r="A342" t="s">
        <v>1171</v>
      </c>
      <c r="B342" t="s">
        <v>1172</v>
      </c>
      <c r="C342" t="s">
        <v>1173</v>
      </c>
      <c r="D342">
        <v>27</v>
      </c>
      <c r="G342">
        <v>250</v>
      </c>
      <c r="H342">
        <v>2593.81</v>
      </c>
    </row>
    <row r="343" spans="1:8" x14ac:dyDescent="0.2">
      <c r="A343" t="s">
        <v>1174</v>
      </c>
      <c r="B343" t="s">
        <v>1175</v>
      </c>
      <c r="C343" t="s">
        <v>1176</v>
      </c>
      <c r="D343">
        <v>100105</v>
      </c>
      <c r="G343">
        <v>0</v>
      </c>
      <c r="H343">
        <v>2449.11</v>
      </c>
    </row>
    <row r="344" spans="1:8" x14ac:dyDescent="0.2">
      <c r="A344" t="s">
        <v>1177</v>
      </c>
      <c r="B344" t="s">
        <v>1178</v>
      </c>
      <c r="C344" t="s">
        <v>1176</v>
      </c>
      <c r="D344">
        <v>100168</v>
      </c>
      <c r="G344">
        <v>0</v>
      </c>
      <c r="H344">
        <v>3608.8</v>
      </c>
    </row>
    <row r="345" spans="1:8" x14ac:dyDescent="0.2">
      <c r="A345" t="s">
        <v>1179</v>
      </c>
      <c r="B345" t="s">
        <v>1180</v>
      </c>
      <c r="C345" t="s">
        <v>1181</v>
      </c>
      <c r="D345">
        <v>50132</v>
      </c>
      <c r="G345">
        <v>260</v>
      </c>
      <c r="H345">
        <v>2663.43</v>
      </c>
    </row>
    <row r="346" spans="1:8" x14ac:dyDescent="0.2">
      <c r="A346" t="s">
        <v>1182</v>
      </c>
      <c r="B346" t="s">
        <v>1183</v>
      </c>
      <c r="C346" t="s">
        <v>1184</v>
      </c>
      <c r="D346">
        <v>19</v>
      </c>
      <c r="G346">
        <v>0</v>
      </c>
      <c r="H346">
        <v>3383.25</v>
      </c>
    </row>
    <row r="347" spans="1:8" x14ac:dyDescent="0.2">
      <c r="A347" t="s">
        <v>1185</v>
      </c>
      <c r="B347" t="s">
        <v>1186</v>
      </c>
      <c r="C347" t="s">
        <v>1187</v>
      </c>
      <c r="D347">
        <v>50274</v>
      </c>
      <c r="G347">
        <v>375</v>
      </c>
      <c r="H347">
        <v>2491.65</v>
      </c>
    </row>
    <row r="348" spans="1:8" x14ac:dyDescent="0.2">
      <c r="A348" t="s">
        <v>1188</v>
      </c>
      <c r="B348" t="s">
        <v>1189</v>
      </c>
      <c r="C348" t="s">
        <v>1190</v>
      </c>
      <c r="D348">
        <v>50440</v>
      </c>
      <c r="G348">
        <v>0</v>
      </c>
      <c r="H348">
        <v>2316.23</v>
      </c>
    </row>
    <row r="349" spans="1:8" x14ac:dyDescent="0.2">
      <c r="A349" t="s">
        <v>1191</v>
      </c>
      <c r="B349" t="s">
        <v>1192</v>
      </c>
      <c r="C349" t="s">
        <v>1193</v>
      </c>
      <c r="D349">
        <v>100166</v>
      </c>
      <c r="G349">
        <v>200</v>
      </c>
      <c r="H349">
        <v>2150</v>
      </c>
    </row>
    <row r="350" spans="1:8" x14ac:dyDescent="0.2">
      <c r="A350" t="s">
        <v>1194</v>
      </c>
      <c r="B350" t="s">
        <v>1195</v>
      </c>
      <c r="C350" t="s">
        <v>1196</v>
      </c>
      <c r="D350">
        <v>50083</v>
      </c>
      <c r="G350">
        <v>0</v>
      </c>
      <c r="H350">
        <v>2400</v>
      </c>
    </row>
    <row r="351" spans="1:8" x14ac:dyDescent="0.2">
      <c r="A351" t="s">
        <v>1197</v>
      </c>
      <c r="B351" t="s">
        <v>1198</v>
      </c>
      <c r="C351" t="s">
        <v>1199</v>
      </c>
      <c r="D351">
        <v>78</v>
      </c>
      <c r="G351">
        <v>150</v>
      </c>
      <c r="H351">
        <v>2016.47</v>
      </c>
    </row>
    <row r="352" spans="1:8" x14ac:dyDescent="0.2">
      <c r="A352" t="s">
        <v>1200</v>
      </c>
      <c r="B352" t="s">
        <v>1201</v>
      </c>
      <c r="C352" t="s">
        <v>1202</v>
      </c>
      <c r="D352">
        <v>50251</v>
      </c>
      <c r="G352">
        <v>0</v>
      </c>
      <c r="H352">
        <v>0</v>
      </c>
    </row>
    <row r="353" spans="1:8" x14ac:dyDescent="0.2">
      <c r="A353" t="s">
        <v>1203</v>
      </c>
      <c r="B353" t="s">
        <v>1204</v>
      </c>
      <c r="C353" t="s">
        <v>1205</v>
      </c>
      <c r="D353">
        <v>50129</v>
      </c>
      <c r="G353">
        <v>0</v>
      </c>
      <c r="H353">
        <v>2650</v>
      </c>
    </row>
    <row r="354" spans="1:8" x14ac:dyDescent="0.2">
      <c r="A354" t="s">
        <v>1206</v>
      </c>
      <c r="B354" t="s">
        <v>1207</v>
      </c>
      <c r="C354" t="s">
        <v>1208</v>
      </c>
      <c r="D354">
        <v>50099</v>
      </c>
      <c r="G354">
        <v>120</v>
      </c>
      <c r="H354">
        <v>0</v>
      </c>
    </row>
    <row r="355" spans="1:8" x14ac:dyDescent="0.2">
      <c r="A355" t="s">
        <v>1209</v>
      </c>
      <c r="B355" t="s">
        <v>1210</v>
      </c>
      <c r="C355" t="s">
        <v>1211</v>
      </c>
      <c r="D355">
        <v>100124</v>
      </c>
      <c r="G355">
        <v>0</v>
      </c>
      <c r="H355">
        <v>1560</v>
      </c>
    </row>
    <row r="356" spans="1:8" x14ac:dyDescent="0.2">
      <c r="A356" t="s">
        <v>1212</v>
      </c>
      <c r="B356" t="s">
        <v>1213</v>
      </c>
      <c r="C356" t="s">
        <v>1214</v>
      </c>
      <c r="D356">
        <v>29</v>
      </c>
      <c r="G356">
        <v>0</v>
      </c>
      <c r="H356">
        <v>0</v>
      </c>
    </row>
    <row r="357" spans="1:8" x14ac:dyDescent="0.2">
      <c r="A357" t="s">
        <v>1215</v>
      </c>
      <c r="B357" t="s">
        <v>1216</v>
      </c>
      <c r="C357" t="s">
        <v>1217</v>
      </c>
      <c r="D357">
        <v>62</v>
      </c>
      <c r="G357">
        <v>0</v>
      </c>
      <c r="H357">
        <v>0</v>
      </c>
    </row>
    <row r="358" spans="1:8" x14ac:dyDescent="0.2">
      <c r="A358" t="s">
        <v>1218</v>
      </c>
      <c r="B358" t="s">
        <v>1219</v>
      </c>
      <c r="C358" t="s">
        <v>1220</v>
      </c>
      <c r="D358">
        <v>50234</v>
      </c>
      <c r="G358">
        <v>250</v>
      </c>
      <c r="H358">
        <v>2100</v>
      </c>
    </row>
    <row r="359" spans="1:8" x14ac:dyDescent="0.2">
      <c r="A359" t="s">
        <v>1221</v>
      </c>
      <c r="B359" t="s">
        <v>1222</v>
      </c>
      <c r="C359" t="s">
        <v>1223</v>
      </c>
      <c r="D359">
        <v>50158</v>
      </c>
      <c r="G359">
        <v>0</v>
      </c>
      <c r="H359">
        <v>1650</v>
      </c>
    </row>
    <row r="360" spans="1:8" x14ac:dyDescent="0.2">
      <c r="A360" t="s">
        <v>1224</v>
      </c>
      <c r="B360" t="s">
        <v>1225</v>
      </c>
      <c r="C360" t="s">
        <v>1226</v>
      </c>
      <c r="D360">
        <v>50174</v>
      </c>
      <c r="G360">
        <v>0</v>
      </c>
      <c r="H360">
        <v>2500</v>
      </c>
    </row>
    <row r="361" spans="1:8" x14ac:dyDescent="0.2">
      <c r="A361" t="s">
        <v>1227</v>
      </c>
      <c r="B361" t="s">
        <v>1228</v>
      </c>
      <c r="C361" t="s">
        <v>1229</v>
      </c>
      <c r="D361">
        <v>100110</v>
      </c>
      <c r="G361">
        <v>350</v>
      </c>
      <c r="H361">
        <v>0</v>
      </c>
    </row>
    <row r="362" spans="1:8" x14ac:dyDescent="0.2">
      <c r="A362" t="s">
        <v>1230</v>
      </c>
      <c r="B362" t="s">
        <v>1231</v>
      </c>
      <c r="C362" t="s">
        <v>1232</v>
      </c>
      <c r="D362">
        <v>50410</v>
      </c>
      <c r="G362">
        <v>200</v>
      </c>
      <c r="H362">
        <v>2000</v>
      </c>
    </row>
    <row r="363" spans="1:8" x14ac:dyDescent="0.2">
      <c r="A363" t="s">
        <v>1233</v>
      </c>
      <c r="B363" t="s">
        <v>1234</v>
      </c>
      <c r="C363" t="s">
        <v>1235</v>
      </c>
      <c r="D363">
        <v>39</v>
      </c>
      <c r="G363">
        <v>200</v>
      </c>
      <c r="H363">
        <v>2737.83</v>
      </c>
    </row>
    <row r="364" spans="1:8" x14ac:dyDescent="0.2">
      <c r="A364" t="s">
        <v>1236</v>
      </c>
      <c r="B364" t="s">
        <v>1237</v>
      </c>
      <c r="C364" t="s">
        <v>1238</v>
      </c>
      <c r="D364">
        <v>100123</v>
      </c>
      <c r="G364">
        <v>0</v>
      </c>
      <c r="H364">
        <v>4000</v>
      </c>
    </row>
    <row r="365" spans="1:8" x14ac:dyDescent="0.2">
      <c r="A365" t="s">
        <v>1239</v>
      </c>
      <c r="B365" t="s">
        <v>1240</v>
      </c>
      <c r="C365" t="s">
        <v>1241</v>
      </c>
      <c r="D365">
        <v>50188</v>
      </c>
      <c r="G365">
        <v>200</v>
      </c>
      <c r="H365">
        <v>2449.11</v>
      </c>
    </row>
    <row r="366" spans="1:8" x14ac:dyDescent="0.2">
      <c r="A366" t="s">
        <v>1242</v>
      </c>
      <c r="B366" t="s">
        <v>1243</v>
      </c>
      <c r="C366" t="s">
        <v>1244</v>
      </c>
      <c r="D366">
        <v>100174</v>
      </c>
      <c r="G366">
        <v>260</v>
      </c>
      <c r="H366">
        <v>3608.8</v>
      </c>
    </row>
    <row r="367" spans="1:8" x14ac:dyDescent="0.2">
      <c r="A367" t="s">
        <v>1245</v>
      </c>
      <c r="B367" t="s">
        <v>1246</v>
      </c>
      <c r="C367" t="s">
        <v>1247</v>
      </c>
      <c r="D367">
        <v>100237</v>
      </c>
      <c r="G367">
        <v>250</v>
      </c>
      <c r="H367">
        <v>2170</v>
      </c>
    </row>
    <row r="368" spans="1:8" x14ac:dyDescent="0.2">
      <c r="A368" t="s">
        <v>1248</v>
      </c>
      <c r="B368" t="s">
        <v>1249</v>
      </c>
      <c r="C368" t="s">
        <v>1250</v>
      </c>
      <c r="D368">
        <v>50409</v>
      </c>
      <c r="G368">
        <v>0</v>
      </c>
      <c r="H368">
        <v>0</v>
      </c>
    </row>
    <row r="369" spans="1:8" x14ac:dyDescent="0.2">
      <c r="A369" t="s">
        <v>1251</v>
      </c>
      <c r="B369" t="s">
        <v>1252</v>
      </c>
      <c r="C369" t="s">
        <v>1253</v>
      </c>
      <c r="D369">
        <v>50235</v>
      </c>
      <c r="G369">
        <v>0</v>
      </c>
      <c r="H369">
        <v>0</v>
      </c>
    </row>
    <row r="370" spans="1:8" x14ac:dyDescent="0.2">
      <c r="A370" t="s">
        <v>1254</v>
      </c>
      <c r="B370" t="s">
        <v>1255</v>
      </c>
      <c r="C370" t="s">
        <v>1256</v>
      </c>
      <c r="D370">
        <v>50095</v>
      </c>
      <c r="G370">
        <v>250</v>
      </c>
      <c r="H370">
        <v>0</v>
      </c>
    </row>
    <row r="371" spans="1:8" x14ac:dyDescent="0.2">
      <c r="A371" t="s">
        <v>1257</v>
      </c>
      <c r="B371" t="s">
        <v>1258</v>
      </c>
      <c r="C371" t="s">
        <v>1259</v>
      </c>
      <c r="D371">
        <v>100225</v>
      </c>
      <c r="G371">
        <v>350</v>
      </c>
      <c r="H371">
        <v>4750</v>
      </c>
    </row>
    <row r="372" spans="1:8" x14ac:dyDescent="0.2">
      <c r="A372" t="s">
        <v>1260</v>
      </c>
      <c r="B372" t="s">
        <v>1261</v>
      </c>
      <c r="C372" t="s">
        <v>1262</v>
      </c>
      <c r="D372">
        <v>50272</v>
      </c>
      <c r="G372">
        <v>350</v>
      </c>
      <c r="H372">
        <v>2202.35</v>
      </c>
    </row>
    <row r="373" spans="1:8" x14ac:dyDescent="0.2">
      <c r="A373" t="s">
        <v>1263</v>
      </c>
      <c r="B373" t="s">
        <v>1264</v>
      </c>
      <c r="C373" t="s">
        <v>1265</v>
      </c>
      <c r="D373">
        <v>60</v>
      </c>
      <c r="G373">
        <v>150</v>
      </c>
      <c r="H373">
        <v>2888.78</v>
      </c>
    </row>
    <row r="374" spans="1:8" x14ac:dyDescent="0.2">
      <c r="A374" t="s">
        <v>1266</v>
      </c>
      <c r="B374" t="s">
        <v>1267</v>
      </c>
      <c r="C374" t="s">
        <v>1268</v>
      </c>
      <c r="D374">
        <v>50182</v>
      </c>
      <c r="G374">
        <v>500</v>
      </c>
      <c r="H374">
        <v>5361.15</v>
      </c>
    </row>
    <row r="375" spans="1:8" x14ac:dyDescent="0.2">
      <c r="A375" t="s">
        <v>1269</v>
      </c>
      <c r="B375" t="s">
        <v>1270</v>
      </c>
      <c r="C375" t="s">
        <v>1271</v>
      </c>
      <c r="D375">
        <v>50447</v>
      </c>
      <c r="G375">
        <v>250</v>
      </c>
      <c r="H375">
        <v>2750</v>
      </c>
    </row>
    <row r="376" spans="1:8" x14ac:dyDescent="0.2">
      <c r="A376" t="s">
        <v>1272</v>
      </c>
      <c r="B376" t="s">
        <v>1273</v>
      </c>
      <c r="C376" t="s">
        <v>1274</v>
      </c>
      <c r="D376">
        <v>57</v>
      </c>
      <c r="G376">
        <v>300</v>
      </c>
      <c r="H376">
        <v>0</v>
      </c>
    </row>
    <row r="377" spans="1:8" x14ac:dyDescent="0.2">
      <c r="A377" t="s">
        <v>1275</v>
      </c>
      <c r="B377" t="s">
        <v>1276</v>
      </c>
      <c r="G377">
        <v>300</v>
      </c>
      <c r="H377">
        <v>3955.8</v>
      </c>
    </row>
    <row r="378" spans="1:8" x14ac:dyDescent="0.2">
      <c r="A378" t="s">
        <v>1277</v>
      </c>
      <c r="B378" t="s">
        <v>1278</v>
      </c>
      <c r="G378">
        <v>350</v>
      </c>
      <c r="H378">
        <v>2394.3000000000002</v>
      </c>
    </row>
    <row r="379" spans="1:8" x14ac:dyDescent="0.2">
      <c r="A379" t="s">
        <v>1279</v>
      </c>
      <c r="B379" t="s">
        <v>1280</v>
      </c>
      <c r="G379">
        <v>300</v>
      </c>
      <c r="H379">
        <v>2700</v>
      </c>
    </row>
    <row r="380" spans="1:8" x14ac:dyDescent="0.2">
      <c r="A380" t="s">
        <v>1281</v>
      </c>
      <c r="B380" t="s">
        <v>1282</v>
      </c>
      <c r="G380">
        <v>200</v>
      </c>
      <c r="H380">
        <v>2000</v>
      </c>
    </row>
    <row r="381" spans="1:8" x14ac:dyDescent="0.2">
      <c r="A381" t="s">
        <v>1283</v>
      </c>
      <c r="B381" t="s">
        <v>1284</v>
      </c>
      <c r="G381">
        <v>0</v>
      </c>
      <c r="H381">
        <v>2909.6</v>
      </c>
    </row>
    <row r="382" spans="1:8" x14ac:dyDescent="0.2">
      <c r="A382" t="s">
        <v>1285</v>
      </c>
      <c r="B382" t="s">
        <v>1286</v>
      </c>
      <c r="G382">
        <v>0</v>
      </c>
      <c r="H382">
        <v>2394.3000000000002</v>
      </c>
    </row>
    <row r="383" spans="1:8" x14ac:dyDescent="0.2">
      <c r="A383" t="s">
        <v>1287</v>
      </c>
      <c r="B383" t="s">
        <v>1288</v>
      </c>
      <c r="G383">
        <v>0</v>
      </c>
      <c r="H383">
        <v>2928.69</v>
      </c>
    </row>
    <row r="384" spans="1:8" x14ac:dyDescent="0.2">
      <c r="A384" t="s">
        <v>1289</v>
      </c>
      <c r="B384" t="s">
        <v>1290</v>
      </c>
      <c r="G384">
        <v>250</v>
      </c>
      <c r="H384">
        <v>2316.23</v>
      </c>
    </row>
    <row r="385" spans="1:8" x14ac:dyDescent="0.2">
      <c r="A385" t="s">
        <v>1291</v>
      </c>
      <c r="B385" t="s">
        <v>1292</v>
      </c>
      <c r="G385">
        <v>390</v>
      </c>
      <c r="H385">
        <v>0</v>
      </c>
    </row>
    <row r="386" spans="1:8" x14ac:dyDescent="0.2">
      <c r="A386" t="s">
        <v>1293</v>
      </c>
      <c r="B386" t="s">
        <v>1294</v>
      </c>
      <c r="G386">
        <v>0</v>
      </c>
      <c r="H386">
        <v>0</v>
      </c>
    </row>
    <row r="387" spans="1:8" x14ac:dyDescent="0.2">
      <c r="A387" t="s">
        <v>1295</v>
      </c>
      <c r="B387" t="s">
        <v>1296</v>
      </c>
      <c r="G387">
        <v>0</v>
      </c>
      <c r="H387">
        <v>1700</v>
      </c>
    </row>
    <row r="388" spans="1:8" x14ac:dyDescent="0.2">
      <c r="A388" t="s">
        <v>1297</v>
      </c>
      <c r="B388" t="s">
        <v>1298</v>
      </c>
      <c r="G388">
        <v>150</v>
      </c>
      <c r="H388">
        <v>2224.71</v>
      </c>
    </row>
    <row r="389" spans="1:8" x14ac:dyDescent="0.2">
      <c r="A389" t="s">
        <v>1299</v>
      </c>
      <c r="B389" t="s">
        <v>1300</v>
      </c>
      <c r="G389">
        <v>0</v>
      </c>
      <c r="H389">
        <v>2170</v>
      </c>
    </row>
    <row r="390" spans="1:8" x14ac:dyDescent="0.2">
      <c r="A390" t="s">
        <v>1301</v>
      </c>
      <c r="B390" t="s">
        <v>1302</v>
      </c>
      <c r="G390">
        <v>0</v>
      </c>
      <c r="H390">
        <v>0</v>
      </c>
    </row>
    <row r="391" spans="1:8" x14ac:dyDescent="0.2">
      <c r="A391" t="s">
        <v>1303</v>
      </c>
      <c r="B391" t="s">
        <v>1304</v>
      </c>
      <c r="G391">
        <v>0</v>
      </c>
      <c r="H391">
        <v>1560</v>
      </c>
    </row>
    <row r="392" spans="1:8" x14ac:dyDescent="0.2">
      <c r="A392" t="s">
        <v>1305</v>
      </c>
      <c r="B392" t="s">
        <v>1306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7D6BCE1C-7FB4-41D5-AE99-F8AF1D2DBF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9764DC-2C60-44FE-BC85-7CC0B75F0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5562D-31D2-4E62-BA93-82CC5D2F1DD6}">
  <ds:schemaRefs>
    <ds:schemaRef ds:uri="http://purl.org/dc/terms/"/>
    <ds:schemaRef ds:uri="7e7f2dcd-0c2b-4478-ad05-247cf739c5b2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c6541c9-858d-46cc-aee4-1fa681dc1bd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2025-12-09T14:01:26Z</dcterms:created>
  <dcterms:modified xsi:type="dcterms:W3CDTF">2025-12-12T12:49:13Z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