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Building folder/"/>
    </mc:Choice>
  </mc:AlternateContent>
  <xr:revisionPtr revIDLastSave="0" documentId="8_{FE745D62-12FC-B641-8E20-A6E62E9A448F}" xr6:coauthVersionLast="47" xr6:coauthVersionMax="47" xr10:uidLastSave="{00000000-0000-0000-0000-000000000000}"/>
  <bookViews>
    <workbookView xWindow="0" yWindow="760" windowWidth="34560" windowHeight="20260" activeTab="1" xr2:uid="{EFE5ECCD-C285-405F-B177-44F960C98771}"/>
  </bookViews>
  <sheets>
    <sheet name="Blad1" sheetId="1" r:id="rId1"/>
    <sheet name="Bijgewerkte Factuur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5" i="2"/>
  <c r="D12" i="2"/>
  <c r="D11" i="2"/>
  <c r="D10" i="2"/>
  <c r="B6" i="1"/>
  <c r="B8" i="1"/>
  <c r="B7" i="1"/>
  <c r="B5" i="1"/>
  <c r="D14" i="2" l="1"/>
  <c r="B10" i="1"/>
</calcChain>
</file>

<file path=xl/sharedStrings.xml><?xml version="1.0" encoding="utf-8"?>
<sst xmlns="http://schemas.openxmlformats.org/spreadsheetml/2006/main" count="26" uniqueCount="17">
  <si>
    <t>Kosten</t>
  </si>
  <si>
    <t xml:space="preserve">Totaal </t>
  </si>
  <si>
    <t>Reiskosten</t>
  </si>
  <si>
    <t>Kastanjelaan 232, Bergen op Zoom</t>
  </si>
  <si>
    <t>stofzuiger</t>
  </si>
  <si>
    <t>Bed 2x</t>
  </si>
  <si>
    <t>Matras 2x</t>
  </si>
  <si>
    <t>Arbeid</t>
  </si>
  <si>
    <t>Schoonmaak + afvoeren afval</t>
  </si>
  <si>
    <t>Bij</t>
  </si>
  <si>
    <t>Uren</t>
  </si>
  <si>
    <t>Tarief</t>
  </si>
  <si>
    <t>Extra Kosten</t>
  </si>
  <si>
    <t>Basis Pakket choonmaak</t>
  </si>
  <si>
    <t>Betaal aan het begin verblijf</t>
  </si>
  <si>
    <t>EXTRA</t>
  </si>
  <si>
    <t>EINSCHOONMAAK AANBETALING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</si>
</sst>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44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24FD-1AB8-40D3-B164-33C6E923C466}">
  <dimension ref="A1:B24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40.1640625" bestFit="1" customWidth="1"/>
    <col min="2" max="2" width="25.5" customWidth="1"/>
  </cols>
  <sheetData>
    <row r="1" spans="1:2" x14ac:dyDescent="0.2">
      <c r="A1" s="2" t="s">
        <v>3</v>
      </c>
      <c r="B1" s="2" t="s">
        <v>0</v>
      </c>
    </row>
    <row r="2" spans="1:2" x14ac:dyDescent="0.2">
      <c r="A2" s="3"/>
      <c r="B2" s="3"/>
    </row>
    <row r="3" spans="1:2" x14ac:dyDescent="0.2">
      <c r="A3" s="3" t="s">
        <v>8</v>
      </c>
      <c r="B3" s="4">
        <v>525</v>
      </c>
    </row>
    <row r="4" spans="1:2" x14ac:dyDescent="0.2">
      <c r="A4" s="3" t="s">
        <v>4</v>
      </c>
      <c r="B4" s="4">
        <v>97.5</v>
      </c>
    </row>
    <row r="5" spans="1:2" x14ac:dyDescent="0.2">
      <c r="A5" s="3" t="s">
        <v>2</v>
      </c>
      <c r="B5" s="4">
        <f>160*0.29</f>
        <v>46.4</v>
      </c>
    </row>
    <row r="6" spans="1:2" x14ac:dyDescent="0.2">
      <c r="A6" s="3" t="s">
        <v>7</v>
      </c>
      <c r="B6" s="4">
        <f>10*45</f>
        <v>450</v>
      </c>
    </row>
    <row r="7" spans="1:2" x14ac:dyDescent="0.2">
      <c r="A7" s="3" t="s">
        <v>5</v>
      </c>
      <c r="B7" s="4">
        <f>2*105</f>
        <v>210</v>
      </c>
    </row>
    <row r="8" spans="1:2" x14ac:dyDescent="0.2">
      <c r="A8" s="3" t="s">
        <v>6</v>
      </c>
      <c r="B8" s="4">
        <f>2*104.3</f>
        <v>208.6</v>
      </c>
    </row>
    <row r="9" spans="1:2" x14ac:dyDescent="0.2">
      <c r="A9" s="3"/>
      <c r="B9" s="4"/>
    </row>
    <row r="10" spans="1:2" x14ac:dyDescent="0.2">
      <c r="A10" s="3" t="s">
        <v>1</v>
      </c>
      <c r="B10" s="5">
        <f>SUM(B3:B9)</f>
        <v>1537.5</v>
      </c>
    </row>
    <row r="11" spans="1:2" x14ac:dyDescent="0.2">
      <c r="B11" s="1"/>
    </row>
    <row r="12" spans="1:2" x14ac:dyDescent="0.2">
      <c r="B12" s="1"/>
    </row>
    <row r="13" spans="1:2" x14ac:dyDescent="0.2">
      <c r="B13" s="1"/>
    </row>
    <row r="14" spans="1:2" x14ac:dyDescent="0.2">
      <c r="B14" s="1"/>
    </row>
    <row r="15" spans="1:2" x14ac:dyDescent="0.2">
      <c r="B15" s="1"/>
    </row>
    <row r="16" spans="1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F968-B54D-4749-A570-59C1EECA7990}">
  <dimension ref="A1:G28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40.1640625" bestFit="1" customWidth="1"/>
    <col min="2" max="3" width="40.1640625" customWidth="1"/>
    <col min="4" max="4" width="25.5" customWidth="1"/>
  </cols>
  <sheetData>
    <row r="1" spans="1:7" x14ac:dyDescent="0.2">
      <c r="A1" s="2" t="s">
        <v>3</v>
      </c>
      <c r="B1" s="2" t="s">
        <v>10</v>
      </c>
      <c r="C1" s="2" t="s">
        <v>11</v>
      </c>
      <c r="D1" s="2" t="s">
        <v>0</v>
      </c>
    </row>
    <row r="2" spans="1:7" x14ac:dyDescent="0.2">
      <c r="A2" s="6" t="s">
        <v>13</v>
      </c>
      <c r="B2" s="3">
        <v>100</v>
      </c>
      <c r="C2" s="3"/>
      <c r="D2" s="3"/>
    </row>
    <row r="3" spans="1:7" x14ac:dyDescent="0.2">
      <c r="A3" s="3" t="s">
        <v>8</v>
      </c>
      <c r="B3" s="3">
        <v>3000</v>
      </c>
      <c r="C3" s="3"/>
      <c r="D3" s="4">
        <v>525</v>
      </c>
    </row>
    <row r="4" spans="1:7" x14ac:dyDescent="0.2">
      <c r="A4" s="3" t="s">
        <v>4</v>
      </c>
      <c r="B4" s="3">
        <v>1001</v>
      </c>
      <c r="C4" s="3"/>
      <c r="D4" s="4">
        <v>97.5</v>
      </c>
      <c r="F4" t="s">
        <v>16</v>
      </c>
    </row>
    <row r="5" spans="1:7" x14ac:dyDescent="0.2">
      <c r="A5" s="3" t="s">
        <v>2</v>
      </c>
      <c r="B5" s="3"/>
      <c r="C5" s="3"/>
      <c r="D5" s="4">
        <f>160*0.29</f>
        <v>46.4</v>
      </c>
    </row>
    <row r="6" spans="1:7" x14ac:dyDescent="0.2">
      <c r="A6" s="3"/>
      <c r="B6" s="3"/>
      <c r="C6" s="6" t="s">
        <v>14</v>
      </c>
      <c r="D6" s="5">
        <v>350</v>
      </c>
    </row>
    <row r="7" spans="1:7" x14ac:dyDescent="0.2">
      <c r="A7" s="3"/>
      <c r="B7" s="3"/>
      <c r="C7" s="3"/>
      <c r="D7" s="4"/>
    </row>
    <row r="8" spans="1:7" x14ac:dyDescent="0.2">
      <c r="A8" s="3"/>
      <c r="B8" s="3"/>
      <c r="C8" s="3"/>
      <c r="D8" s="4"/>
    </row>
    <row r="9" spans="1:7" x14ac:dyDescent="0.2">
      <c r="A9" s="6" t="s">
        <v>12</v>
      </c>
      <c r="B9" s="3"/>
      <c r="C9" s="3"/>
      <c r="D9" s="4"/>
    </row>
    <row r="10" spans="1:7" x14ac:dyDescent="0.2">
      <c r="A10" s="3" t="s">
        <v>7</v>
      </c>
      <c r="B10" s="3">
        <v>500</v>
      </c>
      <c r="C10" s="3"/>
      <c r="D10" s="4">
        <f>10*45</f>
        <v>450</v>
      </c>
    </row>
    <row r="11" spans="1:7" x14ac:dyDescent="0.2">
      <c r="A11" s="3" t="s">
        <v>5</v>
      </c>
      <c r="B11" s="3">
        <v>2</v>
      </c>
      <c r="C11" s="3"/>
      <c r="D11" s="4">
        <f>2*105</f>
        <v>210</v>
      </c>
    </row>
    <row r="12" spans="1:7" x14ac:dyDescent="0.2">
      <c r="A12" s="3" t="s">
        <v>6</v>
      </c>
      <c r="B12" s="3">
        <v>60</v>
      </c>
      <c r="C12" s="3"/>
      <c r="D12" s="4">
        <f>2*104.3</f>
        <v>208.6</v>
      </c>
    </row>
    <row r="13" spans="1:7" x14ac:dyDescent="0.2">
      <c r="A13" s="3"/>
      <c r="B13" s="3"/>
      <c r="C13" s="6" t="s">
        <v>15</v>
      </c>
      <c r="D13" s="5">
        <f>SUM(D10:D12)</f>
        <v>868.6</v>
      </c>
    </row>
    <row r="14" spans="1:7" x14ac:dyDescent="0.2">
      <c r="A14" s="3" t="s">
        <v>1</v>
      </c>
      <c r="B14" s="3"/>
      <c r="C14" s="3"/>
      <c r="D14" s="5">
        <f>SUM(D3:D13)</f>
        <v>2756.1</v>
      </c>
    </row>
    <row r="15" spans="1:7" x14ac:dyDescent="0.2">
      <c r="D15" s="1"/>
    </row>
    <row r="16" spans="1:7" x14ac:dyDescent="0.2">
      <c r="D16" s="1"/>
      <c r="G16" t="s">
        <v>9</v>
      </c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Een nieuw document maken." ma:contentTypeScope="" ma:versionID="398bc76132bb2ec76d6d81ef9171447b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c43e4a99f5a94664419635decd7afbc1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7e7f2dcd-0c2b-4478-ad05-247cf739c5b2" xsi:nil="true"/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131C4CA-4965-4070-AE53-842C8F1F3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B9D989-B3B0-43B9-976A-09FBA7A54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A2C9E4-7EFA-4A86-B783-366B17446975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7c6541c9-858d-46cc-aee4-1fa681dc1bd6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e7f2dcd-0c2b-4478-ad05-247cf739c5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Bijgewerkte Factuur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Dion Hoegen</dc:creator>
  <cp:lastModifiedBy>Aljereau Marten</cp:lastModifiedBy>
  <cp:lastPrinted>2025-06-27T11:32:44Z</cp:lastPrinted>
  <dcterms:created xsi:type="dcterms:W3CDTF">2023-12-07T12:03:11Z</dcterms:created>
  <dcterms:modified xsi:type="dcterms:W3CDTF">2025-11-19T12:10:06Z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