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Building folder/"/>
    </mc:Choice>
  </mc:AlternateContent>
  <xr:revisionPtr revIDLastSave="0" documentId="8_{6D29F970-9AFE-B44B-B67C-AB6F3D5A9D69}" xr6:coauthVersionLast="47" xr6:coauthVersionMax="47" xr10:uidLastSave="{00000000-0000-0000-0000-000000000000}"/>
  <bookViews>
    <workbookView xWindow="0" yWindow="760" windowWidth="34560" windowHeight="20260" xr2:uid="{BA46A908-77C5-443A-9EF8-15E2BD51A64A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3" i="1"/>
  <c r="C6" i="1"/>
  <c r="F6" i="1" s="1"/>
  <c r="F3" i="1" l="1"/>
  <c r="F10" i="1" l="1"/>
  <c r="C13" i="1"/>
  <c r="C12" i="1"/>
  <c r="F12" i="1" s="1"/>
  <c r="C7" i="1"/>
  <c r="F5" i="1"/>
  <c r="F7" i="1" l="1"/>
  <c r="F13" i="1"/>
  <c r="F15" i="1" l="1"/>
  <c r="F17" i="1" s="1"/>
  <c r="F19" i="1" s="1"/>
</calcChain>
</file>

<file path=xl/sharedStrings.xml><?xml version="1.0" encoding="utf-8"?>
<sst xmlns="http://schemas.openxmlformats.org/spreadsheetml/2006/main" count="18" uniqueCount="13">
  <si>
    <t>Verbruik</t>
  </si>
  <si>
    <t>Tarief (excl. BTW)</t>
  </si>
  <si>
    <t>Kosten</t>
  </si>
  <si>
    <t>Dag(en)</t>
  </si>
  <si>
    <t>Vaste leveringskosten p/d</t>
  </si>
  <si>
    <t>Vermindering energiebelasting p/d</t>
  </si>
  <si>
    <t>Netbeheerkosten 3x25 p/d</t>
  </si>
  <si>
    <t>Gas verbruik</t>
  </si>
  <si>
    <t>Netbeheerkosten p/d</t>
  </si>
  <si>
    <t>Totaal</t>
  </si>
  <si>
    <t>BTW</t>
  </si>
  <si>
    <t>Enkel tarief (tot 10.000 kwh)</t>
  </si>
  <si>
    <t>Stedin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</si>
</sst>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€&quot;\ * #,##0.00_ ;_ &quot;€&quot;\ * \-#,##0.00_ ;_ &quot;€&quot;\ * &quot;-&quot;??_ ;_ @_ "/>
    <numFmt numFmtId="164" formatCode="#,##0.000000_ ;\-#,##0.000000\ "/>
    <numFmt numFmtId="165" formatCode="0.0000"/>
    <numFmt numFmtId="166" formatCode="0.0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Verdana"/>
      <family val="2"/>
    </font>
    <font>
      <b/>
      <sz val="18"/>
      <color theme="4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 applyProtection="1">
      <protection locked="0"/>
    </xf>
    <xf numFmtId="164" fontId="2" fillId="0" borderId="0" xfId="1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3" borderId="0" xfId="0" applyFont="1" applyFill="1"/>
    <xf numFmtId="0" fontId="3" fillId="4" borderId="0" xfId="0" applyFont="1" applyFill="1" applyAlignment="1">
      <alignment horizontal="center"/>
    </xf>
    <xf numFmtId="2" fontId="3" fillId="4" borderId="0" xfId="0" applyNumberFormat="1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164" fontId="2" fillId="0" borderId="0" xfId="1" applyNumberFormat="1" applyFont="1" applyAlignment="1" applyProtection="1">
      <alignment horizontal="center"/>
    </xf>
    <xf numFmtId="0" fontId="2" fillId="0" borderId="1" xfId="0" applyFont="1" applyBorder="1" applyAlignment="1" applyProtection="1">
      <alignment horizontal="right"/>
      <protection locked="0"/>
    </xf>
    <xf numFmtId="166" fontId="2" fillId="0" borderId="0" xfId="0" applyNumberFormat="1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1028700</xdr:colOff>
      <xdr:row>14</xdr:row>
      <xdr:rowOff>0</xdr:rowOff>
    </xdr:from>
    <xdr:to>
      <xdr:col>0</xdr:col>
      <xdr:colOff>1028700</xdr:colOff>
      <xdr:row>20</xdr:row>
      <xdr:rowOff>0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A5ADC312-738D-43E4-8709-DA70CEE3F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4314825"/>
          <a:ext cx="3057525" cy="1495425"/>
        </a:xfrm>
        <a:prstGeom prst="rect">
          <a:avLst/>
        </a:prstGeom>
      </xdr:spPr>
    </xdr:pic>
    <xdr:clientData/>
  </xdr:twoCellAnchor>
  <xdr:twoCellAnchor editAs="oneCell">
    <xdr:from>
      <xdr:col>0</xdr:col>
      <xdr:colOff>1028700</xdr:colOff>
      <xdr:row>14</xdr:row>
      <xdr:rowOff>0</xdr:rowOff>
    </xdr:from>
    <xdr:to>
      <xdr:col>0</xdr:col>
      <xdr:colOff>4086225</xdr:colOff>
      <xdr:row>19</xdr:row>
      <xdr:rowOff>66675</xdr:rowOff>
    </xdr:to>
    <xdr:pic>
      <xdr:nvPicPr>
        <xdr:cNvPr id="5" name="Afbeelding 4">
          <a:extLst>
            <a:ext uri="{FF2B5EF4-FFF2-40B4-BE49-F238E27FC236}">
              <a16:creationId xmlns:a16="http://schemas.microsoft.com/office/drawing/2014/main" id="{ADC909CB-DA52-432E-9D82-370B31D4C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4314825"/>
          <a:ext cx="3057525" cy="1495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5B632-93E1-477B-B254-EF56410F46B3}">
  <dimension ref="A1:H20"/>
  <sheetViews>
    <sheetView tabSelected="1" view="pageBreakPreview" zoomScale="60" zoomScaleNormal="100" workbookViewId="0">
      <selection activeCell="C10" sqref="C10"/>
    </sheetView>
  </sheetViews>
  <sheetFormatPr baseColWidth="10" defaultColWidth="0" defaultRowHeight="0" customHeight="1" zeroHeight="1" x14ac:dyDescent="0.25"/>
  <cols>
    <col min="1" max="1" width="61.6640625" style="1" bestFit="1" customWidth="1"/>
    <col min="2" max="2" width="3" style="1" customWidth="1"/>
    <col min="3" max="3" width="16" style="2" bestFit="1" customWidth="1"/>
    <col min="4" max="4" width="3" style="2" customWidth="1"/>
    <col min="5" max="6" width="35" style="3" customWidth="1"/>
    <col min="7" max="8" width="0" style="2" hidden="1" customWidth="1"/>
    <col min="9" max="16384" width="10.33203125" style="2" hidden="1"/>
  </cols>
  <sheetData>
    <row r="1" spans="1:6" ht="24" thickBot="1" x14ac:dyDescent="0.3">
      <c r="A1" s="12" t="s">
        <v>12</v>
      </c>
      <c r="C1" s="2" t="s">
        <v>0</v>
      </c>
      <c r="E1" s="3" t="s">
        <v>1</v>
      </c>
      <c r="F1" s="3" t="s">
        <v>2</v>
      </c>
    </row>
    <row r="2" spans="1:6" ht="23" x14ac:dyDescent="0.25"/>
    <row r="3" spans="1:6" ht="23" x14ac:dyDescent="0.25">
      <c r="A3" s="1" t="s">
        <v>11</v>
      </c>
      <c r="C3" s="4">
        <f>7947+4797-6475-3899</f>
        <v>2370</v>
      </c>
      <c r="E3" s="11">
        <v>0.27169300000000002</v>
      </c>
      <c r="F3" s="6">
        <f>C3*E3</f>
        <v>643.91241000000002</v>
      </c>
    </row>
    <row r="4" spans="1:6" ht="23" x14ac:dyDescent="0.25">
      <c r="C4" s="2" t="s">
        <v>3</v>
      </c>
      <c r="E4" s="5"/>
    </row>
    <row r="5" spans="1:6" ht="23" x14ac:dyDescent="0.25">
      <c r="A5" s="1" t="s">
        <v>4</v>
      </c>
      <c r="C5" s="4">
        <v>395</v>
      </c>
      <c r="E5" s="5">
        <v>0.39780799999999999</v>
      </c>
      <c r="F5" s="6">
        <f t="shared" ref="F5:F7" si="0">C5*E5</f>
        <v>157.13416000000001</v>
      </c>
    </row>
    <row r="6" spans="1:6" ht="23" x14ac:dyDescent="0.25">
      <c r="A6" s="1" t="s">
        <v>5</v>
      </c>
      <c r="C6" s="7">
        <f>$C$5</f>
        <v>395</v>
      </c>
      <c r="E6" s="5">
        <v>-1.740245</v>
      </c>
      <c r="F6" s="6">
        <f t="shared" si="0"/>
        <v>-687.39677500000005</v>
      </c>
    </row>
    <row r="7" spans="1:6" ht="23" x14ac:dyDescent="0.25">
      <c r="A7" s="1" t="s">
        <v>6</v>
      </c>
      <c r="C7" s="7">
        <f>$C$5</f>
        <v>395</v>
      </c>
      <c r="E7" s="13">
        <v>1.3038959999999999</v>
      </c>
      <c r="F7" s="6">
        <f t="shared" si="0"/>
        <v>515.03891999999996</v>
      </c>
    </row>
    <row r="8" spans="1:6" ht="24" thickBot="1" x14ac:dyDescent="0.3"/>
    <row r="9" spans="1:6" ht="24" thickBot="1" x14ac:dyDescent="0.3">
      <c r="A9" s="12" t="s">
        <v>12</v>
      </c>
      <c r="C9" s="2" t="s">
        <v>0</v>
      </c>
    </row>
    <row r="10" spans="1:6" ht="23" x14ac:dyDescent="0.25">
      <c r="A10" s="1" t="s">
        <v>7</v>
      </c>
      <c r="C10" s="4">
        <f>8779-7312</f>
        <v>1467</v>
      </c>
      <c r="E10" s="5">
        <v>1.272146</v>
      </c>
      <c r="F10" s="6">
        <f>C10*E10</f>
        <v>1866.2381820000001</v>
      </c>
    </row>
    <row r="11" spans="1:6" ht="23" x14ac:dyDescent="0.25">
      <c r="C11" s="2" t="s">
        <v>3</v>
      </c>
    </row>
    <row r="12" spans="1:6" ht="23" x14ac:dyDescent="0.25">
      <c r="A12" s="1" t="s">
        <v>4</v>
      </c>
      <c r="C12" s="7">
        <f t="shared" ref="C12:C13" si="1">$C$5</f>
        <v>395</v>
      </c>
      <c r="E12" s="5">
        <v>0.29835600000000001</v>
      </c>
      <c r="F12" s="6">
        <f t="shared" ref="F12:F13" si="2">C12*E12</f>
        <v>117.85062000000001</v>
      </c>
    </row>
    <row r="13" spans="1:6" ht="23" x14ac:dyDescent="0.25">
      <c r="A13" s="1" t="s">
        <v>8</v>
      </c>
      <c r="C13" s="7">
        <f t="shared" si="1"/>
        <v>395</v>
      </c>
      <c r="E13" s="13">
        <v>0.67421200000000003</v>
      </c>
      <c r="F13" s="6">
        <f t="shared" si="2"/>
        <v>266.31374</v>
      </c>
    </row>
    <row r="14" spans="1:6" ht="23" x14ac:dyDescent="0.25"/>
    <row r="15" spans="1:6" ht="23" x14ac:dyDescent="0.25">
      <c r="E15" s="8" t="s">
        <v>9</v>
      </c>
      <c r="F15" s="9">
        <f>SUM(F3:F13)</f>
        <v>2879.091257</v>
      </c>
    </row>
    <row r="16" spans="1:6" ht="23" x14ac:dyDescent="0.25"/>
    <row r="17" spans="5:6" ht="23" x14ac:dyDescent="0.25">
      <c r="E17" s="3" t="s">
        <v>10</v>
      </c>
      <c r="F17" s="10">
        <f>F15*0.21</f>
        <v>604.60916396999994</v>
      </c>
    </row>
    <row r="18" spans="5:6" ht="23" x14ac:dyDescent="0.25"/>
    <row r="19" spans="5:6" ht="23" x14ac:dyDescent="0.25">
      <c r="E19" s="8" t="s">
        <v>9</v>
      </c>
      <c r="F19" s="9">
        <f>SUM(F15:F17)+0.01</f>
        <v>3483.7104209700001</v>
      </c>
    </row>
    <row r="20" spans="5:6" ht="23" x14ac:dyDescent="0.25"/>
  </sheetData>
  <dataValidations count="1">
    <dataValidation type="list" allowBlank="1" showInputMessage="1" showErrorMessage="1" sqref="A1 A9" xr:uid="{E3B6DFB9-9C6B-4F01-8D77-9BCCEC6B80C8}">
      <formula1>ENERGIE</formula1>
    </dataValidation>
  </dataValidations>
  <pageMargins left="0.7" right="0.7" top="0.75" bottom="0.75" header="0.3" footer="0.3"/>
  <pageSetup paperSize="9" scale="53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Een nieuw document maken." ma:contentTypeScope="" ma:versionID="398bc76132bb2ec76d6d81ef9171447b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c43e4a99f5a94664419635decd7afbc1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Afbeelding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7e7f2dcd-0c2b-4478-ad05-247cf739c5b2" xsi:nil="true"/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662ECE03-5698-490D-8E9C-A4BAF8C122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7f2dcd-0c2b-4478-ad05-247cf739c5b2"/>
    <ds:schemaRef ds:uri="7c6541c9-858d-46cc-aee4-1fa681dc1b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F72E77C-E1E8-438F-90BB-32D1AD0F2D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57F8AD-6ABD-4FF1-9F9F-6F74080D6475}">
  <ds:schemaRefs>
    <ds:schemaRef ds:uri="7c6541c9-858d-46cc-aee4-1fa681dc1bd6"/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7e7f2dcd-0c2b-4478-ad05-247cf739c5b2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Christa Stam</dc:creator>
  <cp:lastModifiedBy>Aljereau Marten</cp:lastModifiedBy>
  <cp:lastPrinted>2025-06-26T11:14:13Z</cp:lastPrinted>
  <dcterms:created xsi:type="dcterms:W3CDTF">2024-02-28T11:32:26Z</dcterms:created>
  <dcterms:modified xsi:type="dcterms:W3CDTF">2025-11-19T12:09:42Z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</Properties>
</file>