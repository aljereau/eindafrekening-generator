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"/>
    </mc:Choice>
  </mc:AlternateContent>
  <xr:revisionPtr revIDLastSave="13" documentId="11_E4D51CAAC856B3B6DDBF2D2B464E168AFAB5B7BF" xr6:coauthVersionLast="47" xr6:coauthVersionMax="47" xr10:uidLastSave="{366B2C97-CD77-F742-88E3-F5C3698EC83B}"/>
  <bookViews>
    <workbookView xWindow="0" yWindow="760" windowWidth="34560" windowHeight="20260" activeTab="1" xr2:uid="{00000000-000D-0000-FFFF-FFFF00000000}"/>
  </bookViews>
  <sheets>
    <sheet name="Algemeen" sheetId="1" r:id="rId1"/>
    <sheet name="GWE_Detail" sheetId="2" r:id="rId2"/>
    <sheet name="Schoonmaak" sheetId="3" r:id="rId3"/>
    <sheet name="Schade" sheetId="4" r:id="rId4"/>
  </sheets>
  <definedNames>
    <definedName name="Aantal_dagen">Algemeen!$B$19</definedName>
    <definedName name="Borg_gebruikt">Algemeen!$B$43</definedName>
    <definedName name="Borg_terug">Algemeen!$B$44</definedName>
    <definedName name="Contactpersoon">Algemeen!$B$5</definedName>
    <definedName name="Contractnummer">Algemeen!$B$33</definedName>
    <definedName name="Email">Algemeen!$B$6</definedName>
    <definedName name="Energie_leverancier">Algemeen!$B$32</definedName>
    <definedName name="Extra_schoonmaak_bedrag">Schoonmaak!$B$9</definedName>
    <definedName name="Extra_uren">Schoonmaak!$B$7</definedName>
    <definedName name="Gas_begin">GWE_Detail!$B$7</definedName>
    <definedName name="Gas_eind">GWE_Detail!$B$8</definedName>
    <definedName name="Gas_verbruik">GWE_Detail!$B$9</definedName>
    <definedName name="GWE_BTW">GWE_Detail!$B$37</definedName>
    <definedName name="GWE_meer_minder">Algemeen!$B$46</definedName>
    <definedName name="GWE_totaal_excl">GWE_Detail!$B$36</definedName>
    <definedName name="GWE_totaal_incl">GWE_Detail!$B$38</definedName>
    <definedName name="Inbegrepen_uren">Algemeen!$B$29</definedName>
    <definedName name="Incheck_datum">Algemeen!$B$17</definedName>
    <definedName name="Klantnaam">Algemeen!$B$4</definedName>
    <definedName name="KWh_begin">GWE_Detail!$B$4</definedName>
    <definedName name="KWh_eind">GWE_Detail!$B$5</definedName>
    <definedName name="KWh_verbruik">GWE_Detail!$B$6</definedName>
    <definedName name="Meterbeheerder">Algemeen!$B$31</definedName>
    <definedName name="Object_adres">Algemeen!$B$10</definedName>
    <definedName name="Object_ID">Algemeen!$B$14</definedName>
    <definedName name="Overige_voorschotten">Algemeen!$B$25</definedName>
    <definedName name="Plaats">Algemeen!$B$13</definedName>
    <definedName name="Postcode">Algemeen!$B$12</definedName>
    <definedName name="Restschade">Algemeen!$B$45</definedName>
    <definedName name="RR_Factuurnummer">Algemeen!$B$40</definedName>
    <definedName name="RR_Folder_link">Algemeen!$B$37</definedName>
    <definedName name="RR_Inspecteur">Algemeen!$B$39</definedName>
    <definedName name="RR_Klantnummer">Algemeen!$B$36</definedName>
    <definedName name="RR_Projectleider">Algemeen!$B$38</definedName>
    <definedName name="Schade_BTW">Schade!$B$59</definedName>
    <definedName name="Schade_totaal_excl">Schade!$B$58</definedName>
    <definedName name="Schade_totaal_incl">Schade!$B$60</definedName>
    <definedName name="Schoonmaak_pakket">Algemeen!$B$28</definedName>
    <definedName name="Telefoonnummer">Algemeen!$B$7</definedName>
    <definedName name="Totaal_eindafrekening">Algemeen!$B$47</definedName>
    <definedName name="Totaal_uren_gew">Schoonmaak!$B$6</definedName>
    <definedName name="Uitcheck_datum">Algemeen!$B$18</definedName>
    <definedName name="Unit_nr">Algemeen!$B$11</definedName>
    <definedName name="Uurtarief_schoonmaak">Algemeen!$B$30</definedName>
    <definedName name="Voorschot_borg">Algemeen!$B$22</definedName>
    <definedName name="Voorschot_GWE">Algemeen!$B$23</definedName>
    <definedName name="Voorschot_schoonmaak">Algemeen!$B$24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4" l="1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B8" i="3"/>
  <c r="B4" i="3"/>
  <c r="B5" i="3" s="1"/>
  <c r="B7" i="3" s="1"/>
  <c r="B18" i="2"/>
  <c r="D18" i="2" s="1"/>
  <c r="B16" i="2"/>
  <c r="D16" i="2" s="1"/>
  <c r="B15" i="2"/>
  <c r="D15" i="2" s="1"/>
  <c r="B14" i="2"/>
  <c r="D14" i="2" s="1"/>
  <c r="B9" i="2"/>
  <c r="B6" i="2"/>
  <c r="B29" i="1"/>
  <c r="B19" i="1"/>
  <c r="B17" i="2" s="1"/>
  <c r="D17" i="2" s="1"/>
  <c r="B9" i="3" l="1"/>
</calcChain>
</file>

<file path=xl/sharedStrings.xml><?xml version="1.0" encoding="utf-8"?>
<sst xmlns="http://schemas.openxmlformats.org/spreadsheetml/2006/main" count="100" uniqueCount="96">
  <si>
    <t>RYANRENT EINDAFREKENING - BASISGEGEVENS</t>
  </si>
  <si>
    <t>KLANTGEGEVENS</t>
  </si>
  <si>
    <t>Naam Klant *</t>
  </si>
  <si>
    <t>Familie de Groot</t>
  </si>
  <si>
    <t>Contactpersoon</t>
  </si>
  <si>
    <t>Mevr. S. de Groot</t>
  </si>
  <si>
    <t>Email *</t>
  </si>
  <si>
    <t>s.degroot@provider.com</t>
  </si>
  <si>
    <t>Telefoonnummer</t>
  </si>
  <si>
    <t>+31 6 98765432</t>
  </si>
  <si>
    <t>OBJECTGEGEVENS</t>
  </si>
  <si>
    <t>Adres Object *</t>
  </si>
  <si>
    <t>Duinweg 15</t>
  </si>
  <si>
    <t>Unit Nummer</t>
  </si>
  <si>
    <t>Postcode</t>
  </si>
  <si>
    <t>2042 LM</t>
  </si>
  <si>
    <t>Plaats</t>
  </si>
  <si>
    <t>Bergen aan Zee</t>
  </si>
  <si>
    <t>Object ID</t>
  </si>
  <si>
    <t>VERBLIJFSPERIODE</t>
  </si>
  <si>
    <t>Incheck Datum *</t>
  </si>
  <si>
    <t>Uitcheck Datum *</t>
  </si>
  <si>
    <t>Aantal Dagen (automatisch)</t>
  </si>
  <si>
    <t>VOORSCHOTTEN</t>
  </si>
  <si>
    <t>Voorschot Borg *</t>
  </si>
  <si>
    <t>Voorschot GWE *</t>
  </si>
  <si>
    <t>Voorschot Schoonmaak *</t>
  </si>
  <si>
    <t>Overige Voorschotten</t>
  </si>
  <si>
    <t>CONTRACTGEGEVENS</t>
  </si>
  <si>
    <t>Schoonmaak Pakket *</t>
  </si>
  <si>
    <t>7_uur</t>
  </si>
  <si>
    <t>Inbegrepen Uren (automatisch)</t>
  </si>
  <si>
    <t>Uurtarief Schoonmaak *</t>
  </si>
  <si>
    <t>Meterbeheerder</t>
  </si>
  <si>
    <t>Energie Leverancier</t>
  </si>
  <si>
    <t>Eneco</t>
  </si>
  <si>
    <t>Contractnummer</t>
  </si>
  <si>
    <t>ENEC-789012</t>
  </si>
  <si>
    <t>INTERNE RYANRENT GEGEVENS</t>
  </si>
  <si>
    <t>RR Klantnummer</t>
  </si>
  <si>
    <t>KL-2024-156</t>
  </si>
  <si>
    <t>RR Folder Link</t>
  </si>
  <si>
    <t>RR Projectleider</t>
  </si>
  <si>
    <t>Anna de Vries</t>
  </si>
  <si>
    <t>RR Inspecteur</t>
  </si>
  <si>
    <t>Lisa van Dam</t>
  </si>
  <si>
    <t>RR Factuurnummer</t>
  </si>
  <si>
    <t>BEREKENDE VELDEN (automatisch gevuld door Python)</t>
  </si>
  <si>
    <t>← Niet handmatig invullen!</t>
  </si>
  <si>
    <t>Borg Gebruikt</t>
  </si>
  <si>
    <t>Borg Terug</t>
  </si>
  <si>
    <t>Restschade</t>
  </si>
  <si>
    <t>GWE Meer/Minder</t>
  </si>
  <si>
    <t>Totaal Eindafrekening</t>
  </si>
  <si>
    <t>GAS / WATER / ELEKTRA DETAIL</t>
  </si>
  <si>
    <t>METERSTANDEN</t>
  </si>
  <si>
    <t>Elektra (kWh) Begin *</t>
  </si>
  <si>
    <t>Elektra (kWh) Eind *</t>
  </si>
  <si>
    <t>Elektra (kWh) Verbruik (automatisch)</t>
  </si>
  <si>
    <t>Gas (m³) Begin *</t>
  </si>
  <si>
    <t>Gas (m³) Eind *</t>
  </si>
  <si>
    <t>Gas (m³) Verbruik (automatisch)</t>
  </si>
  <si>
    <t>KOSTENREGELS - Verbruik omzetten naar Euro's</t>
  </si>
  <si>
    <t>Vaste levering elektra</t>
  </si>
  <si>
    <t>Vaste levering gas</t>
  </si>
  <si>
    <t>Waterverbruik</t>
  </si>
  <si>
    <t>Vaste levering gas per dag</t>
  </si>
  <si>
    <t>Waterverbruik (geschat per dag)</t>
  </si>
  <si>
    <t>TOTALEN (automatisch berekend door Python)</t>
  </si>
  <si>
    <t>Totaal excl. BTW</t>
  </si>
  <si>
    <t>BTW (21%)</t>
  </si>
  <si>
    <t>Totaal incl. BTW</t>
  </si>
  <si>
    <t>SCHOONMAAK OVERZICHT</t>
  </si>
  <si>
    <t>SCHOONMAAK GEGEVENS</t>
  </si>
  <si>
    <t>Totaal Uren Gewerkt *</t>
  </si>
  <si>
    <t>Extra Uren (automatisch)</t>
  </si>
  <si>
    <t>Uurtarief *</t>
  </si>
  <si>
    <t>Extra Schoonmaak Bedrag (automatisch)</t>
  </si>
  <si>
    <t>SCHADEPOSTEN OVERZICHT</t>
  </si>
  <si>
    <t>Vul hieronder alle schadeposten in. Bedrag wordt automatisch berekend (Aantal × Tarief).</t>
  </si>
  <si>
    <t>Beschrijving</t>
  </si>
  <si>
    <t>Aantal</t>
  </si>
  <si>
    <t>Tarief excl. BTW</t>
  </si>
  <si>
    <t>Bedrag excl. BTW</t>
  </si>
  <si>
    <t>Gebroken raam keuken</t>
  </si>
  <si>
    <t>Beschadigde vloerbedekking woonkamer</t>
  </si>
  <si>
    <t>Vervangen handdoeken set</t>
  </si>
  <si>
    <t>Schoonmaak verwijderen vlekken muur</t>
  </si>
  <si>
    <t>Reparatie deurklink slaapkamer</t>
  </si>
  <si>
    <t>Totaal Schade excl. BTW</t>
  </si>
  <si>
    <t>Totaal Schade incl. BTW</t>
  </si>
  <si>
    <t>va</t>
  </si>
  <si>
    <t>omschrijving</t>
  </si>
  <si>
    <t>verbruik</t>
  </si>
  <si>
    <t>tarieg</t>
  </si>
  <si>
    <t>totaal ex btw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</si>
</sst>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€\ #,##0.00"/>
  </numFmts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1"/>
      <color rgb="FFC0504D"/>
      <name val="Calibri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0"/>
      <color rgb="FFFFFFFF"/>
      <name val="Arial"/>
      <family val="2"/>
    </font>
    <font>
      <i/>
      <sz val="9"/>
      <color rgb="FF666666"/>
      <name val="Arial"/>
      <family val="2"/>
    </font>
    <font>
      <b/>
      <sz val="10"/>
      <name val="Arial"/>
      <family val="2"/>
    </font>
    <font>
      <i/>
      <sz val="11"/>
      <color rgb="FF666666"/>
      <name val="Calibri"/>
      <family val="2"/>
    </font>
    <font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0504D"/>
        <bgColor rgb="FFC0504D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0" fontId="0" fillId="4" borderId="1" xfId="0" applyFill="1" applyBorder="1"/>
    <xf numFmtId="0" fontId="0" fillId="0" borderId="1" xfId="0" applyBorder="1"/>
    <xf numFmtId="164" fontId="0" fillId="4" borderId="1" xfId="0" applyNumberFormat="1" applyFill="1" applyBorder="1"/>
    <xf numFmtId="1" fontId="0" fillId="5" borderId="1" xfId="0" applyNumberFormat="1" applyFill="1" applyBorder="1"/>
    <xf numFmtId="165" fontId="0" fillId="4" borderId="1" xfId="0" applyNumberFormat="1" applyFill="1" applyBorder="1"/>
    <xf numFmtId="165" fontId="0" fillId="0" borderId="1" xfId="0" applyNumberFormat="1" applyBorder="1"/>
    <xf numFmtId="0" fontId="4" fillId="0" borderId="0" xfId="0" applyFont="1"/>
    <xf numFmtId="165" fontId="0" fillId="5" borderId="1" xfId="0" applyNumberFormat="1" applyFill="1" applyBorder="1"/>
    <xf numFmtId="0" fontId="5" fillId="0" borderId="0" xfId="0" applyFont="1"/>
    <xf numFmtId="165" fontId="5" fillId="5" borderId="2" xfId="0" applyNumberFormat="1" applyFont="1" applyFill="1" applyBorder="1"/>
    <xf numFmtId="3" fontId="0" fillId="4" borderId="1" xfId="0" applyNumberFormat="1" applyFill="1" applyBorder="1"/>
    <xf numFmtId="3" fontId="0" fillId="5" borderId="1" xfId="0" applyNumberFormat="1" applyFill="1" applyBorder="1"/>
    <xf numFmtId="4" fontId="0" fillId="4" borderId="1" xfId="0" applyNumberFormat="1" applyFill="1" applyBorder="1"/>
    <xf numFmtId="4" fontId="0" fillId="5" borderId="1" xfId="0" applyNumberFormat="1" applyFill="1" applyBorder="1"/>
    <xf numFmtId="0" fontId="6" fillId="5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9" borderId="1" xfId="0" applyFont="1" applyFill="1" applyBorder="1"/>
    <xf numFmtId="4" fontId="8" fillId="9" borderId="1" xfId="0" applyNumberFormat="1" applyFont="1" applyFill="1" applyBorder="1"/>
    <xf numFmtId="165" fontId="8" fillId="9" borderId="1" xfId="0" applyNumberFormat="1" applyFont="1" applyFill="1" applyBorder="1"/>
    <xf numFmtId="4" fontId="0" fillId="0" borderId="1" xfId="0" applyNumberFormat="1" applyBorder="1"/>
    <xf numFmtId="0" fontId="9" fillId="0" borderId="0" xfId="0" applyFont="1"/>
    <xf numFmtId="165" fontId="9" fillId="5" borderId="2" xfId="0" applyNumberFormat="1" applyFont="1" applyFill="1" applyBorder="1"/>
    <xf numFmtId="0" fontId="10" fillId="4" borderId="1" xfId="0" applyFont="1" applyFill="1" applyBorder="1"/>
    <xf numFmtId="2" fontId="0" fillId="4" borderId="1" xfId="0" applyNumberFormat="1" applyFill="1" applyBorder="1"/>
    <xf numFmtId="2" fontId="0" fillId="5" borderId="1" xfId="0" applyNumberFormat="1" applyFill="1" applyBorder="1"/>
    <xf numFmtId="165" fontId="10" fillId="4" borderId="1" xfId="0" applyNumberFormat="1" applyFont="1" applyFill="1" applyBorder="1"/>
    <xf numFmtId="0" fontId="7" fillId="6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2" fillId="3" borderId="1" xfId="0" applyFont="1" applyFill="1" applyBorder="1"/>
    <xf numFmtId="0" fontId="0" fillId="0" borderId="3" xfId="0" applyBorder="1"/>
    <xf numFmtId="0" fontId="2" fillId="6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4" xfId="0" applyBorder="1"/>
    <xf numFmtId="0" fontId="2" fillId="8" borderId="1" xfId="0" applyFont="1" applyFill="1" applyBorder="1"/>
    <xf numFmtId="0" fontId="2" fillId="11" borderId="1" xfId="0" applyFont="1" applyFill="1" applyBorder="1"/>
    <xf numFmtId="0" fontId="1" fillId="10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47"/>
  <sheetViews>
    <sheetView workbookViewId="0">
      <pane ySplit="2" topLeftCell="A3" activePane="bottomLeft" state="frozen"/>
      <selection pane="bottomLeft" activeCell="B31" sqref="B31"/>
    </sheetView>
  </sheetViews>
  <sheetFormatPr baseColWidth="10" defaultColWidth="8.83203125" defaultRowHeight="15" x14ac:dyDescent="0.2"/>
  <cols>
    <col min="1" max="1" width="30" customWidth="1"/>
    <col min="2" max="2" width="35" customWidth="1"/>
    <col min="3" max="3" width="20" customWidth="1"/>
  </cols>
  <sheetData>
    <row r="1" spans="1:2" ht="16" x14ac:dyDescent="0.2">
      <c r="A1" s="33" t="s">
        <v>0</v>
      </c>
      <c r="B1" s="31"/>
    </row>
    <row r="3" spans="1:2" x14ac:dyDescent="0.2">
      <c r="A3" s="30" t="s">
        <v>1</v>
      </c>
      <c r="B3" s="31"/>
    </row>
    <row r="4" spans="1:2" x14ac:dyDescent="0.2">
      <c r="A4" s="1" t="s">
        <v>2</v>
      </c>
      <c r="B4" s="2" t="s">
        <v>3</v>
      </c>
    </row>
    <row r="5" spans="1:2" x14ac:dyDescent="0.2">
      <c r="A5" s="1" t="s">
        <v>4</v>
      </c>
      <c r="B5" s="3" t="s">
        <v>5</v>
      </c>
    </row>
    <row r="6" spans="1:2" x14ac:dyDescent="0.2">
      <c r="A6" s="1" t="s">
        <v>6</v>
      </c>
      <c r="B6" s="2" t="s">
        <v>7</v>
      </c>
    </row>
    <row r="7" spans="1:2" x14ac:dyDescent="0.2">
      <c r="A7" s="1" t="s">
        <v>8</v>
      </c>
      <c r="B7" s="3" t="s">
        <v>9</v>
      </c>
    </row>
    <row r="9" spans="1:2" x14ac:dyDescent="0.2">
      <c r="A9" s="30" t="s">
        <v>10</v>
      </c>
      <c r="B9" s="31"/>
    </row>
    <row r="10" spans="1:2" x14ac:dyDescent="0.2">
      <c r="A10" s="1" t="s">
        <v>11</v>
      </c>
      <c r="B10" s="2" t="s">
        <v>12</v>
      </c>
    </row>
    <row r="11" spans="1:2" x14ac:dyDescent="0.2">
      <c r="A11" s="1" t="s">
        <v>13</v>
      </c>
      <c r="B11" s="3"/>
    </row>
    <row r="12" spans="1:2" x14ac:dyDescent="0.2">
      <c r="A12" s="1" t="s">
        <v>14</v>
      </c>
      <c r="B12" s="3" t="s">
        <v>15</v>
      </c>
    </row>
    <row r="13" spans="1:2" x14ac:dyDescent="0.2">
      <c r="A13" s="1" t="s">
        <v>16</v>
      </c>
      <c r="B13" s="3" t="s">
        <v>17</v>
      </c>
    </row>
    <row r="14" spans="1:2" x14ac:dyDescent="0.2">
      <c r="A14" s="1" t="s">
        <v>18</v>
      </c>
      <c r="B14" s="3">
        <v>34</v>
      </c>
    </row>
    <row r="16" spans="1:2" x14ac:dyDescent="0.2">
      <c r="A16" s="30" t="s">
        <v>19</v>
      </c>
      <c r="B16" s="31"/>
    </row>
    <row r="17" spans="1:2" x14ac:dyDescent="0.2">
      <c r="A17" s="1" t="s">
        <v>20</v>
      </c>
      <c r="B17" s="4">
        <v>45514</v>
      </c>
    </row>
    <row r="18" spans="1:2" x14ac:dyDescent="0.2">
      <c r="A18" s="1" t="s">
        <v>21</v>
      </c>
      <c r="B18" s="4">
        <v>45528</v>
      </c>
    </row>
    <row r="19" spans="1:2" x14ac:dyDescent="0.2">
      <c r="A19" s="1" t="s">
        <v>22</v>
      </c>
      <c r="B19" s="5">
        <f>IF(AND(B17&lt;&gt;"",B18&lt;&gt;""),B18-B17,"")</f>
        <v>14</v>
      </c>
    </row>
    <row r="21" spans="1:2" x14ac:dyDescent="0.2">
      <c r="A21" s="30" t="s">
        <v>23</v>
      </c>
      <c r="B21" s="31"/>
    </row>
    <row r="22" spans="1:2" x14ac:dyDescent="0.2">
      <c r="A22" s="1" t="s">
        <v>24</v>
      </c>
      <c r="B22" s="6">
        <v>1000</v>
      </c>
    </row>
    <row r="23" spans="1:2" x14ac:dyDescent="0.2">
      <c r="A23" s="1" t="s">
        <v>25</v>
      </c>
      <c r="B23" s="6">
        <v>400</v>
      </c>
    </row>
    <row r="24" spans="1:2" x14ac:dyDescent="0.2">
      <c r="A24" s="1" t="s">
        <v>26</v>
      </c>
      <c r="B24" s="6">
        <v>300</v>
      </c>
    </row>
    <row r="25" spans="1:2" x14ac:dyDescent="0.2">
      <c r="A25" s="1" t="s">
        <v>27</v>
      </c>
      <c r="B25" s="7">
        <v>0</v>
      </c>
    </row>
    <row r="27" spans="1:2" x14ac:dyDescent="0.2">
      <c r="A27" s="30" t="s">
        <v>28</v>
      </c>
      <c r="B27" s="31"/>
    </row>
    <row r="28" spans="1:2" x14ac:dyDescent="0.2">
      <c r="A28" s="1" t="s">
        <v>29</v>
      </c>
      <c r="B28" s="2" t="s">
        <v>30</v>
      </c>
    </row>
    <row r="29" spans="1:2" x14ac:dyDescent="0.2">
      <c r="A29" s="1" t="s">
        <v>31</v>
      </c>
      <c r="B29" s="5">
        <f>IF(B28="5_uur",5,IF(B28="7_uur",7,""))</f>
        <v>7</v>
      </c>
    </row>
    <row r="30" spans="1:2" x14ac:dyDescent="0.2">
      <c r="A30" s="1" t="s">
        <v>32</v>
      </c>
      <c r="B30" s="6">
        <v>50</v>
      </c>
    </row>
    <row r="31" spans="1:2" x14ac:dyDescent="0.2">
      <c r="A31" s="1" t="s">
        <v>33</v>
      </c>
      <c r="B31" s="3" t="s">
        <v>91</v>
      </c>
    </row>
    <row r="32" spans="1:2" x14ac:dyDescent="0.2">
      <c r="A32" s="1" t="s">
        <v>34</v>
      </c>
      <c r="B32" s="3" t="s">
        <v>35</v>
      </c>
    </row>
    <row r="33" spans="1:3" x14ac:dyDescent="0.2">
      <c r="A33" s="1" t="s">
        <v>36</v>
      </c>
      <c r="B33" s="3" t="s">
        <v>37</v>
      </c>
    </row>
    <row r="35" spans="1:3" x14ac:dyDescent="0.2">
      <c r="A35" s="30" t="s">
        <v>38</v>
      </c>
      <c r="B35" s="31"/>
    </row>
    <row r="36" spans="1:3" x14ac:dyDescent="0.2">
      <c r="A36" s="1" t="s">
        <v>39</v>
      </c>
      <c r="B36" s="3" t="s">
        <v>40</v>
      </c>
    </row>
    <row r="37" spans="1:3" x14ac:dyDescent="0.2">
      <c r="A37" s="1" t="s">
        <v>41</v>
      </c>
      <c r="B37" s="3"/>
    </row>
    <row r="38" spans="1:3" x14ac:dyDescent="0.2">
      <c r="A38" s="1" t="s">
        <v>42</v>
      </c>
      <c r="B38" s="3" t="s">
        <v>43</v>
      </c>
    </row>
    <row r="39" spans="1:3" x14ac:dyDescent="0.2">
      <c r="A39" s="1" t="s">
        <v>44</v>
      </c>
      <c r="B39" s="3" t="s">
        <v>45</v>
      </c>
    </row>
    <row r="40" spans="1:3" x14ac:dyDescent="0.2">
      <c r="A40" s="1" t="s">
        <v>46</v>
      </c>
      <c r="B40" s="3"/>
    </row>
    <row r="42" spans="1:3" x14ac:dyDescent="0.2">
      <c r="A42" s="32" t="s">
        <v>47</v>
      </c>
      <c r="B42" s="31"/>
      <c r="C42" s="8" t="s">
        <v>48</v>
      </c>
    </row>
    <row r="43" spans="1:3" x14ac:dyDescent="0.2">
      <c r="A43" s="1" t="s">
        <v>49</v>
      </c>
      <c r="B43" s="9"/>
    </row>
    <row r="44" spans="1:3" x14ac:dyDescent="0.2">
      <c r="A44" s="1" t="s">
        <v>50</v>
      </c>
      <c r="B44" s="9"/>
    </row>
    <row r="45" spans="1:3" x14ac:dyDescent="0.2">
      <c r="A45" s="1" t="s">
        <v>51</v>
      </c>
      <c r="B45" s="9"/>
    </row>
    <row r="46" spans="1:3" x14ac:dyDescent="0.2">
      <c r="A46" s="1" t="s">
        <v>52</v>
      </c>
      <c r="B46" s="9"/>
    </row>
    <row r="47" spans="1:3" x14ac:dyDescent="0.2">
      <c r="A47" s="10" t="s">
        <v>53</v>
      </c>
      <c r="B47" s="11"/>
    </row>
  </sheetData>
  <mergeCells count="8">
    <mergeCell ref="A21:B21"/>
    <mergeCell ref="A16:B16"/>
    <mergeCell ref="A42:B42"/>
    <mergeCell ref="A1:B1"/>
    <mergeCell ref="A9:B9"/>
    <mergeCell ref="A27:B27"/>
    <mergeCell ref="A3:B3"/>
    <mergeCell ref="A35:B35"/>
  </mergeCells>
  <dataValidations count="1">
    <dataValidation type="list" errorTitle="Ongeldige invoer" error="Kies 5_uur of 7_uur" sqref="B28" xr:uid="{00000000-0002-0000-0000-000000000000}">
      <formula1>"5_uur,7_uur"</formula1>
    </dataValidation>
  </dataValidation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D38"/>
  <sheetViews>
    <sheetView tabSelected="1" workbookViewId="0">
      <pane ySplit="5" topLeftCell="A6" activePane="bottomLeft" state="frozen"/>
      <selection pane="bottomLeft" activeCell="B14" sqref="B14:D18"/>
    </sheetView>
  </sheetViews>
  <sheetFormatPr baseColWidth="10" defaultColWidth="8.83203125" defaultRowHeight="15" x14ac:dyDescent="0.2"/>
  <cols>
    <col min="1" max="1" width="30" customWidth="1"/>
    <col min="2" max="4" width="20" customWidth="1"/>
  </cols>
  <sheetData>
    <row r="1" spans="1:4" ht="16" x14ac:dyDescent="0.2">
      <c r="A1" s="34" t="s">
        <v>54</v>
      </c>
      <c r="B1" s="35"/>
      <c r="C1" s="35"/>
      <c r="D1" s="31"/>
    </row>
    <row r="3" spans="1:4" x14ac:dyDescent="0.2">
      <c r="A3" s="36" t="s">
        <v>55</v>
      </c>
      <c r="B3" s="35"/>
      <c r="C3" s="35"/>
      <c r="D3" s="31"/>
    </row>
    <row r="4" spans="1:4" x14ac:dyDescent="0.2">
      <c r="A4" s="1" t="s">
        <v>56</v>
      </c>
      <c r="B4" s="12">
        <v>8500</v>
      </c>
    </row>
    <row r="5" spans="1:4" x14ac:dyDescent="0.2">
      <c r="A5" s="1" t="s">
        <v>57</v>
      </c>
      <c r="B5" s="12">
        <v>10200</v>
      </c>
    </row>
    <row r="6" spans="1:4" x14ac:dyDescent="0.2">
      <c r="A6" s="1" t="s">
        <v>58</v>
      </c>
      <c r="B6" s="13">
        <f>IF(AND(B4&lt;&gt;"",B5&lt;&gt;""),B5-B4,"")</f>
        <v>1700</v>
      </c>
    </row>
    <row r="7" spans="1:4" x14ac:dyDescent="0.2">
      <c r="A7" s="1" t="s">
        <v>59</v>
      </c>
      <c r="B7" s="14">
        <v>4200</v>
      </c>
    </row>
    <row r="8" spans="1:4" x14ac:dyDescent="0.2">
      <c r="A8" s="1" t="s">
        <v>60</v>
      </c>
      <c r="B8" s="14">
        <v>4450</v>
      </c>
    </row>
    <row r="9" spans="1:4" x14ac:dyDescent="0.2">
      <c r="A9" s="1" t="s">
        <v>61</v>
      </c>
      <c r="B9" s="15">
        <f>IF(AND(B7&lt;&gt;"",B8&lt;&gt;""),B8-B7,"")</f>
        <v>250</v>
      </c>
    </row>
    <row r="11" spans="1:4" x14ac:dyDescent="0.2">
      <c r="A11" s="36" t="s">
        <v>62</v>
      </c>
      <c r="B11" s="35"/>
      <c r="C11" s="35"/>
      <c r="D11" s="31"/>
    </row>
    <row r="12" spans="1:4" ht="30" customHeight="1" x14ac:dyDescent="0.2">
      <c r="A12" s="16"/>
    </row>
    <row r="13" spans="1:4" ht="30" customHeight="1" x14ac:dyDescent="0.2">
      <c r="A13" s="17" t="s">
        <v>92</v>
      </c>
      <c r="B13" s="17" t="s">
        <v>93</v>
      </c>
      <c r="C13" s="17" t="s">
        <v>94</v>
      </c>
      <c r="D13" s="17" t="s">
        <v>95</v>
      </c>
    </row>
    <row r="14" spans="1:4" x14ac:dyDescent="0.2">
      <c r="A14" s="18" t="s">
        <v>63</v>
      </c>
      <c r="B14" s="19">
        <f>[0]!Aantal_dagen</f>
        <v>14</v>
      </c>
      <c r="C14" s="20">
        <v>0.52</v>
      </c>
      <c r="D14" s="20">
        <f t="shared" ref="D12:D18" si="0">B14*C14</f>
        <v>7.28</v>
      </c>
    </row>
    <row r="15" spans="1:4" x14ac:dyDescent="0.2">
      <c r="A15" s="18" t="s">
        <v>64</v>
      </c>
      <c r="B15" s="19">
        <f>[0]!Aantal_dagen</f>
        <v>14</v>
      </c>
      <c r="C15" s="20">
        <v>0.45</v>
      </c>
      <c r="D15" s="20">
        <f t="shared" si="0"/>
        <v>6.3</v>
      </c>
    </row>
    <row r="16" spans="1:4" x14ac:dyDescent="0.2">
      <c r="A16" s="18" t="s">
        <v>65</v>
      </c>
      <c r="B16" s="19">
        <f>[0]!Aantal_dagen</f>
        <v>14</v>
      </c>
      <c r="C16" s="20">
        <v>3.5</v>
      </c>
      <c r="D16" s="20">
        <f t="shared" si="0"/>
        <v>49</v>
      </c>
    </row>
    <row r="17" spans="1:4" x14ac:dyDescent="0.2">
      <c r="A17" s="18" t="s">
        <v>66</v>
      </c>
      <c r="B17" s="19">
        <f>[0]!Aantal_dagen</f>
        <v>14</v>
      </c>
      <c r="C17" s="20">
        <v>0.45</v>
      </c>
      <c r="D17" s="20">
        <f t="shared" si="0"/>
        <v>6.3</v>
      </c>
    </row>
    <row r="18" spans="1:4" x14ac:dyDescent="0.2">
      <c r="A18" s="18" t="s">
        <v>67</v>
      </c>
      <c r="B18" s="19">
        <f>[0]!Aantal_dagen</f>
        <v>14</v>
      </c>
      <c r="C18" s="20">
        <v>3.5</v>
      </c>
      <c r="D18" s="20">
        <f t="shared" si="0"/>
        <v>49</v>
      </c>
    </row>
    <row r="19" spans="1:4" x14ac:dyDescent="0.2">
      <c r="A19" s="3"/>
      <c r="B19" s="21"/>
      <c r="C19" s="7"/>
      <c r="D19" s="7"/>
    </row>
    <row r="20" spans="1:4" x14ac:dyDescent="0.2">
      <c r="A20" s="3"/>
      <c r="B20" s="21"/>
      <c r="C20" s="7"/>
      <c r="D20" s="7"/>
    </row>
    <row r="21" spans="1:4" x14ac:dyDescent="0.2">
      <c r="A21" s="3"/>
      <c r="B21" s="21"/>
      <c r="C21" s="7"/>
      <c r="D21" s="7"/>
    </row>
    <row r="22" spans="1:4" x14ac:dyDescent="0.2">
      <c r="A22" s="3"/>
      <c r="B22" s="21"/>
      <c r="C22" s="7"/>
      <c r="D22" s="7"/>
    </row>
    <row r="23" spans="1:4" x14ac:dyDescent="0.2">
      <c r="A23" s="3"/>
      <c r="B23" s="21"/>
      <c r="C23" s="7"/>
      <c r="D23" s="7"/>
    </row>
    <row r="24" spans="1:4" x14ac:dyDescent="0.2">
      <c r="A24" s="3"/>
      <c r="B24" s="21"/>
      <c r="C24" s="7"/>
      <c r="D24" s="7"/>
    </row>
    <row r="25" spans="1:4" x14ac:dyDescent="0.2">
      <c r="A25" s="3"/>
      <c r="B25" s="21"/>
      <c r="C25" s="7"/>
      <c r="D25" s="7"/>
    </row>
    <row r="26" spans="1:4" x14ac:dyDescent="0.2">
      <c r="A26" s="3"/>
      <c r="B26" s="21"/>
      <c r="C26" s="7"/>
      <c r="D26" s="7"/>
    </row>
    <row r="27" spans="1:4" x14ac:dyDescent="0.2">
      <c r="A27" s="3"/>
      <c r="B27" s="21"/>
      <c r="C27" s="7"/>
      <c r="D27" s="7"/>
    </row>
    <row r="28" spans="1:4" x14ac:dyDescent="0.2">
      <c r="A28" s="3"/>
      <c r="B28" s="21"/>
      <c r="C28" s="7"/>
      <c r="D28" s="7"/>
    </row>
    <row r="29" spans="1:4" x14ac:dyDescent="0.2">
      <c r="A29" s="3"/>
      <c r="B29" s="21"/>
      <c r="C29" s="7"/>
      <c r="D29" s="7"/>
    </row>
    <row r="30" spans="1:4" x14ac:dyDescent="0.2">
      <c r="A30" s="3"/>
      <c r="B30" s="21"/>
      <c r="C30" s="7"/>
      <c r="D30" s="7"/>
    </row>
    <row r="31" spans="1:4" x14ac:dyDescent="0.2">
      <c r="A31" s="3"/>
      <c r="B31" s="21"/>
      <c r="C31" s="7"/>
      <c r="D31" s="7"/>
    </row>
    <row r="32" spans="1:4" x14ac:dyDescent="0.2">
      <c r="A32" s="3"/>
      <c r="B32" s="21"/>
      <c r="C32" s="7"/>
      <c r="D32" s="7"/>
    </row>
    <row r="33" spans="1:4" x14ac:dyDescent="0.2">
      <c r="A33" s="3"/>
      <c r="B33" s="21"/>
      <c r="C33" s="7"/>
      <c r="D33" s="7"/>
    </row>
    <row r="35" spans="1:4" x14ac:dyDescent="0.2">
      <c r="A35" s="32" t="s">
        <v>68</v>
      </c>
      <c r="B35" s="35"/>
      <c r="C35" s="35"/>
      <c r="D35" s="31"/>
    </row>
    <row r="36" spans="1:4" x14ac:dyDescent="0.2">
      <c r="A36" s="1" t="s">
        <v>69</v>
      </c>
      <c r="B36" s="9"/>
    </row>
    <row r="37" spans="1:4" x14ac:dyDescent="0.2">
      <c r="A37" s="1" t="s">
        <v>70</v>
      </c>
      <c r="B37" s="9"/>
    </row>
    <row r="38" spans="1:4" x14ac:dyDescent="0.2">
      <c r="A38" s="22" t="s">
        <v>71</v>
      </c>
      <c r="B38" s="23"/>
    </row>
  </sheetData>
  <mergeCells count="4">
    <mergeCell ref="A1:D1"/>
    <mergeCell ref="A35:D35"/>
    <mergeCell ref="A3:D3"/>
    <mergeCell ref="A11:D11"/>
  </mergeCell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9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8.83203125" defaultRowHeight="15" x14ac:dyDescent="0.2"/>
  <cols>
    <col min="1" max="1" width="35" customWidth="1"/>
    <col min="2" max="2" width="20" customWidth="1"/>
  </cols>
  <sheetData>
    <row r="1" spans="1:2" ht="16" x14ac:dyDescent="0.2">
      <c r="A1" s="38" t="s">
        <v>72</v>
      </c>
      <c r="B1" s="31"/>
    </row>
    <row r="3" spans="1:2" x14ac:dyDescent="0.2">
      <c r="A3" s="37" t="s">
        <v>73</v>
      </c>
      <c r="B3" s="31"/>
    </row>
    <row r="4" spans="1:2" x14ac:dyDescent="0.2">
      <c r="A4" s="1" t="s">
        <v>29</v>
      </c>
      <c r="B4" s="24" t="str">
        <f>[0]!Schoonmaak_pakket</f>
        <v>7_uur</v>
      </c>
    </row>
    <row r="5" spans="1:2" x14ac:dyDescent="0.2">
      <c r="A5" s="1" t="s">
        <v>31</v>
      </c>
      <c r="B5" s="5">
        <f>IF(B4="5_uur",5,IF(B4="7_uur",7,""))</f>
        <v>7</v>
      </c>
    </row>
    <row r="6" spans="1:2" x14ac:dyDescent="0.2">
      <c r="A6" s="1" t="s">
        <v>74</v>
      </c>
      <c r="B6" s="25">
        <v>16</v>
      </c>
    </row>
    <row r="7" spans="1:2" x14ac:dyDescent="0.2">
      <c r="A7" s="1" t="s">
        <v>75</v>
      </c>
      <c r="B7" s="26">
        <f>IF(AND(B5&lt;&gt;"",B6&lt;&gt;""),MAX(0,B6-B5),"")</f>
        <v>9</v>
      </c>
    </row>
    <row r="8" spans="1:2" x14ac:dyDescent="0.2">
      <c r="A8" s="1" t="s">
        <v>76</v>
      </c>
      <c r="B8" s="27">
        <f>[0]!Uurtarief_schoonmaak</f>
        <v>50</v>
      </c>
    </row>
    <row r="9" spans="1:2" x14ac:dyDescent="0.2">
      <c r="A9" s="22" t="s">
        <v>77</v>
      </c>
      <c r="B9" s="23">
        <f>IF(AND(B7&lt;&gt;"",B8&lt;&gt;""),B7*B8,"")</f>
        <v>450</v>
      </c>
    </row>
  </sheetData>
  <mergeCells count="2"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504D"/>
  </sheetPr>
  <dimension ref="A1:D60"/>
  <sheetViews>
    <sheetView workbookViewId="0">
      <pane ySplit="5" topLeftCell="A6" activePane="bottomLeft" state="frozen"/>
      <selection pane="bottomLeft" activeCell="D9" sqref="D9"/>
    </sheetView>
  </sheetViews>
  <sheetFormatPr baseColWidth="10" defaultColWidth="8.83203125" defaultRowHeight="15" x14ac:dyDescent="0.2"/>
  <cols>
    <col min="1" max="1" width="50" customWidth="1"/>
    <col min="2" max="2" width="12" customWidth="1"/>
    <col min="3" max="4" width="20" customWidth="1"/>
  </cols>
  <sheetData>
    <row r="1" spans="1:4" ht="16" x14ac:dyDescent="0.2">
      <c r="A1" s="39" t="s">
        <v>78</v>
      </c>
      <c r="B1" s="35"/>
      <c r="C1" s="35"/>
      <c r="D1" s="31"/>
    </row>
    <row r="3" spans="1:4" x14ac:dyDescent="0.2">
      <c r="A3" s="40" t="s">
        <v>79</v>
      </c>
      <c r="B3" s="41"/>
      <c r="C3" s="41"/>
      <c r="D3" s="41"/>
    </row>
    <row r="5" spans="1:4" ht="25" customHeight="1" x14ac:dyDescent="0.2">
      <c r="A5" s="28" t="s">
        <v>80</v>
      </c>
      <c r="B5" s="28" t="s">
        <v>81</v>
      </c>
      <c r="C5" s="28" t="s">
        <v>82</v>
      </c>
      <c r="D5" s="28" t="s">
        <v>83</v>
      </c>
    </row>
    <row r="6" spans="1:4" x14ac:dyDescent="0.2">
      <c r="A6" s="3" t="s">
        <v>84</v>
      </c>
      <c r="B6" s="29">
        <v>1</v>
      </c>
      <c r="C6" s="7">
        <v>175</v>
      </c>
      <c r="D6" s="9">
        <f t="shared" ref="D6:D37" si="0">IF(AND(B6&lt;&gt;"",C6&lt;&gt;""),B6*C6,"")</f>
        <v>175</v>
      </c>
    </row>
    <row r="7" spans="1:4" x14ac:dyDescent="0.2">
      <c r="A7" s="3" t="s">
        <v>85</v>
      </c>
      <c r="B7" s="29">
        <v>3</v>
      </c>
      <c r="C7" s="7">
        <v>55</v>
      </c>
      <c r="D7" s="9">
        <f t="shared" si="0"/>
        <v>165</v>
      </c>
    </row>
    <row r="8" spans="1:4" x14ac:dyDescent="0.2">
      <c r="A8" s="3" t="s">
        <v>86</v>
      </c>
      <c r="B8" s="29">
        <v>2</v>
      </c>
      <c r="C8" s="7">
        <v>28</v>
      </c>
      <c r="D8" s="9">
        <f t="shared" si="0"/>
        <v>56</v>
      </c>
    </row>
    <row r="9" spans="1:4" x14ac:dyDescent="0.2">
      <c r="A9" s="3" t="s">
        <v>87</v>
      </c>
      <c r="B9" s="29">
        <v>1</v>
      </c>
      <c r="C9" s="7">
        <v>85</v>
      </c>
      <c r="D9" s="9">
        <f t="shared" si="0"/>
        <v>85</v>
      </c>
    </row>
    <row r="10" spans="1:4" x14ac:dyDescent="0.2">
      <c r="A10" s="3" t="s">
        <v>88</v>
      </c>
      <c r="B10" s="29">
        <v>1</v>
      </c>
      <c r="C10" s="7">
        <v>42</v>
      </c>
      <c r="D10" s="9">
        <f t="shared" si="0"/>
        <v>42</v>
      </c>
    </row>
    <row r="11" spans="1:4" x14ac:dyDescent="0.2">
      <c r="A11" s="3"/>
      <c r="B11" s="29"/>
      <c r="C11" s="7"/>
      <c r="D11" s="9" t="str">
        <f t="shared" si="0"/>
        <v/>
      </c>
    </row>
    <row r="12" spans="1:4" x14ac:dyDescent="0.2">
      <c r="A12" s="3"/>
      <c r="B12" s="29"/>
      <c r="C12" s="7"/>
      <c r="D12" s="9" t="str">
        <f t="shared" si="0"/>
        <v/>
      </c>
    </row>
    <row r="13" spans="1:4" x14ac:dyDescent="0.2">
      <c r="A13" s="3"/>
      <c r="B13" s="29"/>
      <c r="C13" s="7"/>
      <c r="D13" s="9" t="str">
        <f t="shared" si="0"/>
        <v/>
      </c>
    </row>
    <row r="14" spans="1:4" x14ac:dyDescent="0.2">
      <c r="A14" s="3"/>
      <c r="B14" s="29"/>
      <c r="C14" s="7"/>
      <c r="D14" s="9" t="str">
        <f t="shared" si="0"/>
        <v/>
      </c>
    </row>
    <row r="15" spans="1:4" x14ac:dyDescent="0.2">
      <c r="A15" s="3"/>
      <c r="B15" s="29"/>
      <c r="C15" s="7"/>
      <c r="D15" s="9" t="str">
        <f t="shared" si="0"/>
        <v/>
      </c>
    </row>
    <row r="16" spans="1:4" x14ac:dyDescent="0.2">
      <c r="A16" s="3"/>
      <c r="B16" s="29"/>
      <c r="C16" s="7"/>
      <c r="D16" s="9" t="str">
        <f t="shared" si="0"/>
        <v/>
      </c>
    </row>
    <row r="17" spans="1:4" x14ac:dyDescent="0.2">
      <c r="A17" s="3"/>
      <c r="B17" s="29"/>
      <c r="C17" s="7"/>
      <c r="D17" s="9" t="str">
        <f t="shared" si="0"/>
        <v/>
      </c>
    </row>
    <row r="18" spans="1:4" x14ac:dyDescent="0.2">
      <c r="A18" s="3"/>
      <c r="B18" s="29"/>
      <c r="C18" s="7"/>
      <c r="D18" s="9" t="str">
        <f t="shared" si="0"/>
        <v/>
      </c>
    </row>
    <row r="19" spans="1:4" x14ac:dyDescent="0.2">
      <c r="A19" s="3"/>
      <c r="B19" s="29"/>
      <c r="C19" s="7"/>
      <c r="D19" s="9" t="str">
        <f t="shared" si="0"/>
        <v/>
      </c>
    </row>
    <row r="20" spans="1:4" x14ac:dyDescent="0.2">
      <c r="A20" s="3"/>
      <c r="B20" s="29"/>
      <c r="C20" s="7"/>
      <c r="D20" s="9" t="str">
        <f t="shared" si="0"/>
        <v/>
      </c>
    </row>
    <row r="21" spans="1:4" x14ac:dyDescent="0.2">
      <c r="A21" s="3"/>
      <c r="B21" s="29"/>
      <c r="C21" s="7"/>
      <c r="D21" s="9" t="str">
        <f t="shared" si="0"/>
        <v/>
      </c>
    </row>
    <row r="22" spans="1:4" x14ac:dyDescent="0.2">
      <c r="A22" s="3"/>
      <c r="B22" s="29"/>
      <c r="C22" s="7"/>
      <c r="D22" s="9" t="str">
        <f t="shared" si="0"/>
        <v/>
      </c>
    </row>
    <row r="23" spans="1:4" x14ac:dyDescent="0.2">
      <c r="A23" s="3"/>
      <c r="B23" s="29"/>
      <c r="C23" s="7"/>
      <c r="D23" s="9" t="str">
        <f t="shared" si="0"/>
        <v/>
      </c>
    </row>
    <row r="24" spans="1:4" x14ac:dyDescent="0.2">
      <c r="A24" s="3"/>
      <c r="B24" s="29"/>
      <c r="C24" s="7"/>
      <c r="D24" s="9" t="str">
        <f t="shared" si="0"/>
        <v/>
      </c>
    </row>
    <row r="25" spans="1:4" x14ac:dyDescent="0.2">
      <c r="A25" s="3"/>
      <c r="B25" s="29"/>
      <c r="C25" s="7"/>
      <c r="D25" s="9" t="str">
        <f t="shared" si="0"/>
        <v/>
      </c>
    </row>
    <row r="26" spans="1:4" x14ac:dyDescent="0.2">
      <c r="A26" s="3"/>
      <c r="B26" s="29"/>
      <c r="C26" s="7"/>
      <c r="D26" s="9" t="str">
        <f t="shared" si="0"/>
        <v/>
      </c>
    </row>
    <row r="27" spans="1:4" x14ac:dyDescent="0.2">
      <c r="A27" s="3"/>
      <c r="B27" s="29"/>
      <c r="C27" s="7"/>
      <c r="D27" s="9" t="str">
        <f t="shared" si="0"/>
        <v/>
      </c>
    </row>
    <row r="28" spans="1:4" x14ac:dyDescent="0.2">
      <c r="A28" s="3"/>
      <c r="B28" s="29"/>
      <c r="C28" s="7"/>
      <c r="D28" s="9" t="str">
        <f t="shared" si="0"/>
        <v/>
      </c>
    </row>
    <row r="29" spans="1:4" x14ac:dyDescent="0.2">
      <c r="A29" s="3"/>
      <c r="B29" s="29"/>
      <c r="C29" s="7"/>
      <c r="D29" s="9" t="str">
        <f t="shared" si="0"/>
        <v/>
      </c>
    </row>
    <row r="30" spans="1:4" x14ac:dyDescent="0.2">
      <c r="A30" s="3"/>
      <c r="B30" s="29"/>
      <c r="C30" s="7"/>
      <c r="D30" s="9" t="str">
        <f t="shared" si="0"/>
        <v/>
      </c>
    </row>
    <row r="31" spans="1:4" x14ac:dyDescent="0.2">
      <c r="A31" s="3"/>
      <c r="B31" s="29"/>
      <c r="C31" s="7"/>
      <c r="D31" s="9" t="str">
        <f t="shared" si="0"/>
        <v/>
      </c>
    </row>
    <row r="32" spans="1:4" x14ac:dyDescent="0.2">
      <c r="A32" s="3"/>
      <c r="B32" s="29"/>
      <c r="C32" s="7"/>
      <c r="D32" s="9" t="str">
        <f t="shared" si="0"/>
        <v/>
      </c>
    </row>
    <row r="33" spans="1:4" x14ac:dyDescent="0.2">
      <c r="A33" s="3"/>
      <c r="B33" s="29"/>
      <c r="C33" s="7"/>
      <c r="D33" s="9" t="str">
        <f t="shared" si="0"/>
        <v/>
      </c>
    </row>
    <row r="34" spans="1:4" x14ac:dyDescent="0.2">
      <c r="A34" s="3"/>
      <c r="B34" s="29"/>
      <c r="C34" s="7"/>
      <c r="D34" s="9" t="str">
        <f t="shared" si="0"/>
        <v/>
      </c>
    </row>
    <row r="35" spans="1:4" x14ac:dyDescent="0.2">
      <c r="A35" s="3"/>
      <c r="B35" s="29"/>
      <c r="C35" s="7"/>
      <c r="D35" s="9" t="str">
        <f t="shared" si="0"/>
        <v/>
      </c>
    </row>
    <row r="36" spans="1:4" x14ac:dyDescent="0.2">
      <c r="A36" s="3"/>
      <c r="B36" s="29"/>
      <c r="C36" s="7"/>
      <c r="D36" s="9" t="str">
        <f t="shared" si="0"/>
        <v/>
      </c>
    </row>
    <row r="37" spans="1:4" x14ac:dyDescent="0.2">
      <c r="A37" s="3"/>
      <c r="B37" s="29"/>
      <c r="C37" s="7"/>
      <c r="D37" s="9" t="str">
        <f t="shared" si="0"/>
        <v/>
      </c>
    </row>
    <row r="38" spans="1:4" x14ac:dyDescent="0.2">
      <c r="A38" s="3"/>
      <c r="B38" s="29"/>
      <c r="C38" s="7"/>
      <c r="D38" s="9" t="str">
        <f t="shared" ref="D38:D69" si="1">IF(AND(B38&lt;&gt;"",C38&lt;&gt;""),B38*C38,"")</f>
        <v/>
      </c>
    </row>
    <row r="39" spans="1:4" x14ac:dyDescent="0.2">
      <c r="A39" s="3"/>
      <c r="B39" s="29"/>
      <c r="C39" s="7"/>
      <c r="D39" s="9" t="str">
        <f t="shared" si="1"/>
        <v/>
      </c>
    </row>
    <row r="40" spans="1:4" x14ac:dyDescent="0.2">
      <c r="A40" s="3"/>
      <c r="B40" s="29"/>
      <c r="C40" s="7"/>
      <c r="D40" s="9" t="str">
        <f t="shared" si="1"/>
        <v/>
      </c>
    </row>
    <row r="41" spans="1:4" x14ac:dyDescent="0.2">
      <c r="A41" s="3"/>
      <c r="B41" s="29"/>
      <c r="C41" s="7"/>
      <c r="D41" s="9" t="str">
        <f t="shared" si="1"/>
        <v/>
      </c>
    </row>
    <row r="42" spans="1:4" x14ac:dyDescent="0.2">
      <c r="A42" s="3"/>
      <c r="B42" s="29"/>
      <c r="C42" s="7"/>
      <c r="D42" s="9" t="str">
        <f t="shared" si="1"/>
        <v/>
      </c>
    </row>
    <row r="43" spans="1:4" x14ac:dyDescent="0.2">
      <c r="A43" s="3"/>
      <c r="B43" s="29"/>
      <c r="C43" s="7"/>
      <c r="D43" s="9" t="str">
        <f t="shared" si="1"/>
        <v/>
      </c>
    </row>
    <row r="44" spans="1:4" x14ac:dyDescent="0.2">
      <c r="A44" s="3"/>
      <c r="B44" s="29"/>
      <c r="C44" s="7"/>
      <c r="D44" s="9" t="str">
        <f t="shared" si="1"/>
        <v/>
      </c>
    </row>
    <row r="45" spans="1:4" x14ac:dyDescent="0.2">
      <c r="A45" s="3"/>
      <c r="B45" s="29"/>
      <c r="C45" s="7"/>
      <c r="D45" s="9" t="str">
        <f t="shared" si="1"/>
        <v/>
      </c>
    </row>
    <row r="46" spans="1:4" x14ac:dyDescent="0.2">
      <c r="A46" s="3"/>
      <c r="B46" s="29"/>
      <c r="C46" s="7"/>
      <c r="D46" s="9" t="str">
        <f t="shared" si="1"/>
        <v/>
      </c>
    </row>
    <row r="47" spans="1:4" x14ac:dyDescent="0.2">
      <c r="A47" s="3"/>
      <c r="B47" s="29"/>
      <c r="C47" s="7"/>
      <c r="D47" s="9" t="str">
        <f t="shared" si="1"/>
        <v/>
      </c>
    </row>
    <row r="48" spans="1:4" x14ac:dyDescent="0.2">
      <c r="A48" s="3"/>
      <c r="B48" s="29"/>
      <c r="C48" s="7"/>
      <c r="D48" s="9" t="str">
        <f t="shared" si="1"/>
        <v/>
      </c>
    </row>
    <row r="49" spans="1:4" x14ac:dyDescent="0.2">
      <c r="A49" s="3"/>
      <c r="B49" s="29"/>
      <c r="C49" s="7"/>
      <c r="D49" s="9" t="str">
        <f t="shared" si="1"/>
        <v/>
      </c>
    </row>
    <row r="50" spans="1:4" x14ac:dyDescent="0.2">
      <c r="A50" s="3"/>
      <c r="B50" s="29"/>
      <c r="C50" s="7"/>
      <c r="D50" s="9" t="str">
        <f t="shared" si="1"/>
        <v/>
      </c>
    </row>
    <row r="51" spans="1:4" x14ac:dyDescent="0.2">
      <c r="A51" s="3"/>
      <c r="B51" s="29"/>
      <c r="C51" s="7"/>
      <c r="D51" s="9" t="str">
        <f t="shared" si="1"/>
        <v/>
      </c>
    </row>
    <row r="52" spans="1:4" x14ac:dyDescent="0.2">
      <c r="A52" s="3"/>
      <c r="B52" s="29"/>
      <c r="C52" s="7"/>
      <c r="D52" s="9" t="str">
        <f t="shared" si="1"/>
        <v/>
      </c>
    </row>
    <row r="53" spans="1:4" x14ac:dyDescent="0.2">
      <c r="A53" s="3"/>
      <c r="B53" s="29"/>
      <c r="C53" s="7"/>
      <c r="D53" s="9" t="str">
        <f t="shared" si="1"/>
        <v/>
      </c>
    </row>
    <row r="54" spans="1:4" x14ac:dyDescent="0.2">
      <c r="A54" s="3"/>
      <c r="B54" s="29"/>
      <c r="C54" s="7"/>
      <c r="D54" s="9" t="str">
        <f t="shared" si="1"/>
        <v/>
      </c>
    </row>
    <row r="55" spans="1:4" x14ac:dyDescent="0.2">
      <c r="A55" s="3"/>
      <c r="B55" s="29"/>
      <c r="C55" s="7"/>
      <c r="D55" s="9" t="str">
        <f t="shared" si="1"/>
        <v/>
      </c>
    </row>
    <row r="57" spans="1:4" x14ac:dyDescent="0.2">
      <c r="A57" s="32" t="s">
        <v>68</v>
      </c>
      <c r="B57" s="35"/>
      <c r="C57" s="35"/>
      <c r="D57" s="31"/>
    </row>
    <row r="58" spans="1:4" x14ac:dyDescent="0.2">
      <c r="A58" s="1" t="s">
        <v>89</v>
      </c>
      <c r="B58" s="9"/>
    </row>
    <row r="59" spans="1:4" x14ac:dyDescent="0.2">
      <c r="A59" s="1" t="s">
        <v>70</v>
      </c>
      <c r="B59" s="9"/>
    </row>
    <row r="60" spans="1:4" x14ac:dyDescent="0.2">
      <c r="A60" s="22" t="s">
        <v>90</v>
      </c>
      <c r="B60" s="23"/>
    </row>
  </sheetData>
  <mergeCells count="3">
    <mergeCell ref="A1:D1"/>
    <mergeCell ref="A57:D57"/>
    <mergeCell ref="A3:D3"/>
  </mergeCells>
  <pageMargins left="0.75" right="0.75" top="1" bottom="1" header="0.5" footer="0.5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6595BE-E9BC-438D-9E79-7FA9FBEC1D53}">
  <ds:schemaRefs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  <ds:schemaRef ds:uri="7e7f2dcd-0c2b-4478-ad05-247cf739c5b2"/>
    <ds:schemaRef ds:uri="http://purl.org/dc/elements/1.1/"/>
    <ds:schemaRef ds:uri="http://schemas.microsoft.com/office/infopath/2007/PartnerControls"/>
    <ds:schemaRef ds:uri="7c6541c9-858d-46cc-aee4-1fa681dc1bd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E7B4DE8-D161-4EC3-A6E9-9DACE35DF2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5442A1-5344-4670-9943-1164593785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47</vt:i4>
      </vt:variant>
    </vt:vector>
  </HeadingPairs>
  <TitlesOfParts>
    <vt:vector size="51" baseType="lpstr">
      <vt:lpstr>Algemeen</vt:lpstr>
      <vt:lpstr>GWE_Detail</vt:lpstr>
      <vt:lpstr>Schoonmaak</vt:lpstr>
      <vt:lpstr>Schade</vt:lpstr>
      <vt:lpstr>Aantal_dagen</vt:lpstr>
      <vt:lpstr>Borg_gebruikt</vt:lpstr>
      <vt:lpstr>Borg_terug</vt:lpstr>
      <vt:lpstr>Contactpersoon</vt:lpstr>
      <vt:lpstr>Contractnummer</vt:lpstr>
      <vt:lpstr>Email</vt:lpstr>
      <vt:lpstr>Energie_leverancier</vt:lpstr>
      <vt:lpstr>Extra_schoonmaak_bedrag</vt:lpstr>
      <vt:lpstr>Extra_uren</vt:lpstr>
      <vt:lpstr>Gas_begin</vt:lpstr>
      <vt:lpstr>Gas_eind</vt:lpstr>
      <vt:lpstr>Gas_verbruik</vt:lpstr>
      <vt:lpstr>GWE_BTW</vt:lpstr>
      <vt:lpstr>GWE_meer_minder</vt:lpstr>
      <vt:lpstr>GWE_totaal_excl</vt:lpstr>
      <vt:lpstr>GWE_totaal_incl</vt:lpstr>
      <vt:lpstr>Inbegrepen_uren</vt:lpstr>
      <vt:lpstr>Incheck_datum</vt:lpstr>
      <vt:lpstr>Klantnaam</vt:lpstr>
      <vt:lpstr>KWh_begin</vt:lpstr>
      <vt:lpstr>KWh_eind</vt:lpstr>
      <vt:lpstr>KWh_verbruik</vt:lpstr>
      <vt:lpstr>Meterbeheerder</vt:lpstr>
      <vt:lpstr>Object_adres</vt:lpstr>
      <vt:lpstr>Object_ID</vt:lpstr>
      <vt:lpstr>Overige_voorschotten</vt:lpstr>
      <vt:lpstr>Plaats</vt:lpstr>
      <vt:lpstr>Postcode</vt:lpstr>
      <vt:lpstr>Restschade</vt:lpstr>
      <vt:lpstr>RR_Factuurnummer</vt:lpstr>
      <vt:lpstr>RR_Folder_link</vt:lpstr>
      <vt:lpstr>RR_Inspecteur</vt:lpstr>
      <vt:lpstr>RR_Klantnummer</vt:lpstr>
      <vt:lpstr>RR_Projectleider</vt:lpstr>
      <vt:lpstr>Schade_BTW</vt:lpstr>
      <vt:lpstr>Schade_totaal_excl</vt:lpstr>
      <vt:lpstr>Schade_totaal_incl</vt:lpstr>
      <vt:lpstr>Schoonmaak_pakket</vt:lpstr>
      <vt:lpstr>Telefoonnummer</vt:lpstr>
      <vt:lpstr>Totaal_eindafrekening</vt:lpstr>
      <vt:lpstr>Totaal_uren_gew</vt:lpstr>
      <vt:lpstr>Uitcheck_datum</vt:lpstr>
      <vt:lpstr>Unit_nr</vt:lpstr>
      <vt:lpstr>Uurtarief_schoonmaak</vt:lpstr>
      <vt:lpstr>Voorschot_borg</vt:lpstr>
      <vt:lpstr>Voorschot_GWE</vt:lpstr>
      <vt:lpstr>Voorschot_schoonmaak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2025-11-19T14:53:04Z</dcterms:created>
  <dcterms:modified xsi:type="dcterms:W3CDTF">2025-11-20T00:35:19Z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0x010100FD8216A3BCF59A4CAC1EDC9B65F03F94</vt:lpwstr>
  </property>
</Properties>
</file>