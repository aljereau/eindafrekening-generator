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ryanrent.sharepoint.com/sites/RyanRent/Gedeelde documenten/General/01_RyanRent&amp;Co/Aljereau/Eindafrekening Generator/Archive/dev-folders/Building folder/"/>
    </mc:Choice>
  </mc:AlternateContent>
  <xr:revisionPtr revIDLastSave="5" documentId="8_{FE745D62-12FC-B641-8E20-A6E62E9A448F}" xr6:coauthVersionLast="47" xr6:coauthVersionMax="47" xr10:uidLastSave="{8F909A44-C36E-C04D-9F19-7DF3C64D7F1A}"/>
  <bookViews>
    <workbookView xWindow="0" yWindow="760" windowWidth="34560" windowHeight="20260" activeTab="1" xr2:uid="{EFE5ECCD-C285-405F-B177-44F960C98771}"/>
  </bookViews>
  <sheets>
    <sheet name="Blad1" sheetId="1" r:id="rId1"/>
    <sheet name="Bijgewerkte Factuur templat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3" i="2" l="1"/>
  <c r="D5" i="2"/>
  <c r="D12" i="2"/>
  <c r="D11" i="2"/>
  <c r="D10" i="2"/>
  <c r="B6" i="1"/>
  <c r="B8" i="1"/>
  <c r="B7" i="1"/>
  <c r="B5" i="1"/>
  <c r="D14" i="2" l="1"/>
  <c r="B10" i="1"/>
</calcChain>
</file>

<file path=xl/sharedStrings.xml><?xml version="1.0" encoding="utf-8"?>
<sst xmlns="http://schemas.openxmlformats.org/spreadsheetml/2006/main" count="24" uniqueCount="15">
  <si>
    <t>Kosten</t>
  </si>
  <si>
    <t xml:space="preserve">Totaal </t>
  </si>
  <si>
    <t>Reiskosten</t>
  </si>
  <si>
    <t>Kastanjelaan 232, Bergen op Zoom</t>
  </si>
  <si>
    <t>stofzuiger</t>
  </si>
  <si>
    <t>Bed 2x</t>
  </si>
  <si>
    <t>Matras 2x</t>
  </si>
  <si>
    <t>Arbeid</t>
  </si>
  <si>
    <t>Schoonmaak + afvoeren afval</t>
  </si>
  <si>
    <t>Uren</t>
  </si>
  <si>
    <t>Extra Kosten</t>
  </si>
  <si>
    <t>Basis Pakket choonmaak</t>
  </si>
  <si>
    <t>Betaal aan het begin verblijf</t>
  </si>
  <si>
    <t>EXTRA</t>
  </si>
  <si>
    <t>Tarief per uur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</si>
</sst>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 &quot;€&quot;\ * #,##0.00_ ;_ &quot;€&quot;\ * \-#,##0.00_ ;_ &quot;€&quot;\ * &quot;-&quot;??_ ;_ @_ 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44" fontId="0" fillId="0" borderId="0" xfId="0" applyNumberFormat="1"/>
    <xf numFmtId="0" fontId="1" fillId="0" borderId="1" xfId="0" applyFont="1" applyBorder="1" applyAlignment="1">
      <alignment horizontal="center"/>
    </xf>
    <xf numFmtId="0" fontId="0" fillId="0" borderId="1" xfId="0" applyBorder="1"/>
    <xf numFmtId="44" fontId="0" fillId="0" borderId="1" xfId="0" applyNumberFormat="1" applyBorder="1"/>
    <xf numFmtId="44" fontId="1" fillId="0" borderId="1" xfId="0" applyNumberFormat="1" applyFont="1" applyBorder="1"/>
    <xf numFmtId="0" fontId="1" fillId="0" borderId="1" xfId="0" applyFont="1" applyBorder="1"/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2E24FD-1AB8-40D3-B164-33C6E923C466}">
  <dimension ref="A1:B24"/>
  <sheetViews>
    <sheetView workbookViewId="0">
      <selection activeCell="E12" sqref="E12"/>
    </sheetView>
  </sheetViews>
  <sheetFormatPr baseColWidth="10" defaultColWidth="8.83203125" defaultRowHeight="15" x14ac:dyDescent="0.2"/>
  <cols>
    <col min="1" max="1" width="40.1640625" bestFit="1" customWidth="1"/>
    <col min="2" max="2" width="25.5" customWidth="1"/>
  </cols>
  <sheetData>
    <row r="1" spans="1:2" x14ac:dyDescent="0.2">
      <c r="A1" s="2" t="s">
        <v>3</v>
      </c>
      <c r="B1" s="2" t="s">
        <v>0</v>
      </c>
    </row>
    <row r="2" spans="1:2" x14ac:dyDescent="0.2">
      <c r="A2" s="3"/>
      <c r="B2" s="3"/>
    </row>
    <row r="3" spans="1:2" x14ac:dyDescent="0.2">
      <c r="A3" s="3" t="s">
        <v>8</v>
      </c>
      <c r="B3" s="4">
        <v>525</v>
      </c>
    </row>
    <row r="4" spans="1:2" x14ac:dyDescent="0.2">
      <c r="A4" s="3" t="s">
        <v>4</v>
      </c>
      <c r="B4" s="4">
        <v>97.5</v>
      </c>
    </row>
    <row r="5" spans="1:2" x14ac:dyDescent="0.2">
      <c r="A5" s="3" t="s">
        <v>2</v>
      </c>
      <c r="B5" s="4">
        <f>160*0.29</f>
        <v>46.4</v>
      </c>
    </row>
    <row r="6" spans="1:2" x14ac:dyDescent="0.2">
      <c r="A6" s="3" t="s">
        <v>7</v>
      </c>
      <c r="B6" s="4">
        <f>10*45</f>
        <v>450</v>
      </c>
    </row>
    <row r="7" spans="1:2" x14ac:dyDescent="0.2">
      <c r="A7" s="3" t="s">
        <v>5</v>
      </c>
      <c r="B7" s="4">
        <f>2*105</f>
        <v>210</v>
      </c>
    </row>
    <row r="8" spans="1:2" x14ac:dyDescent="0.2">
      <c r="A8" s="3" t="s">
        <v>6</v>
      </c>
      <c r="B8" s="4">
        <f>2*104.3</f>
        <v>208.6</v>
      </c>
    </row>
    <row r="9" spans="1:2" x14ac:dyDescent="0.2">
      <c r="A9" s="3"/>
      <c r="B9" s="4"/>
    </row>
    <row r="10" spans="1:2" x14ac:dyDescent="0.2">
      <c r="A10" s="3" t="s">
        <v>1</v>
      </c>
      <c r="B10" s="5">
        <f>SUM(B3:B9)</f>
        <v>1537.5</v>
      </c>
    </row>
    <row r="11" spans="1:2" x14ac:dyDescent="0.2">
      <c r="B11" s="1"/>
    </row>
    <row r="12" spans="1:2" x14ac:dyDescent="0.2">
      <c r="B12" s="1"/>
    </row>
    <row r="13" spans="1:2" x14ac:dyDescent="0.2">
      <c r="B13" s="1"/>
    </row>
    <row r="14" spans="1:2" x14ac:dyDescent="0.2">
      <c r="B14" s="1"/>
    </row>
    <row r="15" spans="1:2" x14ac:dyDescent="0.2">
      <c r="B15" s="1"/>
    </row>
    <row r="16" spans="1:2" x14ac:dyDescent="0.2">
      <c r="B16" s="1"/>
    </row>
    <row r="17" spans="2:2" x14ac:dyDescent="0.2">
      <c r="B17" s="1"/>
    </row>
    <row r="18" spans="2:2" x14ac:dyDescent="0.2">
      <c r="B18" s="1"/>
    </row>
    <row r="19" spans="2:2" x14ac:dyDescent="0.2">
      <c r="B19" s="1"/>
    </row>
    <row r="20" spans="2:2" x14ac:dyDescent="0.2">
      <c r="B20" s="1"/>
    </row>
    <row r="21" spans="2:2" x14ac:dyDescent="0.2">
      <c r="B21" s="1"/>
    </row>
    <row r="22" spans="2:2" x14ac:dyDescent="0.2">
      <c r="B22" s="1"/>
    </row>
    <row r="23" spans="2:2" x14ac:dyDescent="0.2">
      <c r="B23" s="1"/>
    </row>
    <row r="24" spans="2:2" x14ac:dyDescent="0.2">
      <c r="B24" s="1"/>
    </row>
  </sheetData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92F968-B54D-4749-A570-59C1EECA7990}">
  <dimension ref="A1:D28"/>
  <sheetViews>
    <sheetView tabSelected="1" workbookViewId="0">
      <selection activeCell="A10" sqref="A10:A12"/>
    </sheetView>
  </sheetViews>
  <sheetFormatPr baseColWidth="10" defaultColWidth="8.83203125" defaultRowHeight="15" x14ac:dyDescent="0.2"/>
  <cols>
    <col min="1" max="1" width="40.1640625" bestFit="1" customWidth="1"/>
    <col min="2" max="3" width="40.1640625" customWidth="1"/>
    <col min="4" max="4" width="25.5" customWidth="1"/>
  </cols>
  <sheetData>
    <row r="1" spans="1:4" x14ac:dyDescent="0.2">
      <c r="A1" s="2" t="s">
        <v>3</v>
      </c>
      <c r="B1" s="2" t="s">
        <v>9</v>
      </c>
      <c r="C1" s="2" t="s">
        <v>14</v>
      </c>
      <c r="D1" s="2" t="s">
        <v>0</v>
      </c>
    </row>
    <row r="2" spans="1:4" x14ac:dyDescent="0.2">
      <c r="A2" s="6" t="s">
        <v>11</v>
      </c>
      <c r="B2" s="3">
        <v>100</v>
      </c>
      <c r="C2" s="7">
        <v>10</v>
      </c>
      <c r="D2" s="3"/>
    </row>
    <row r="3" spans="1:4" x14ac:dyDescent="0.2">
      <c r="A3" s="3" t="s">
        <v>8</v>
      </c>
      <c r="B3" s="3">
        <v>3000</v>
      </c>
      <c r="C3" s="3"/>
      <c r="D3" s="4">
        <v>525</v>
      </c>
    </row>
    <row r="4" spans="1:4" x14ac:dyDescent="0.2">
      <c r="A4" s="3" t="s">
        <v>4</v>
      </c>
      <c r="B4" s="3">
        <v>1001</v>
      </c>
      <c r="C4" s="3"/>
      <c r="D4" s="4">
        <v>97.5</v>
      </c>
    </row>
    <row r="5" spans="1:4" x14ac:dyDescent="0.2">
      <c r="A5" s="3" t="s">
        <v>2</v>
      </c>
      <c r="B5" s="3"/>
      <c r="C5" s="3"/>
      <c r="D5" s="4">
        <f>160*0.29</f>
        <v>46.4</v>
      </c>
    </row>
    <row r="6" spans="1:4" x14ac:dyDescent="0.2">
      <c r="A6" s="3"/>
      <c r="B6" s="3"/>
      <c r="C6" s="6" t="s">
        <v>12</v>
      </c>
      <c r="D6" s="5">
        <v>350</v>
      </c>
    </row>
    <row r="7" spans="1:4" x14ac:dyDescent="0.2">
      <c r="A7" s="3"/>
      <c r="B7" s="3"/>
      <c r="C7" s="3"/>
      <c r="D7" s="4"/>
    </row>
    <row r="8" spans="1:4" x14ac:dyDescent="0.2">
      <c r="A8" s="3"/>
      <c r="B8" s="3"/>
      <c r="C8" s="3"/>
      <c r="D8" s="4"/>
    </row>
    <row r="9" spans="1:4" x14ac:dyDescent="0.2">
      <c r="A9" s="6" t="s">
        <v>10</v>
      </c>
      <c r="B9" s="3"/>
      <c r="C9" s="3"/>
      <c r="D9" s="4"/>
    </row>
    <row r="10" spans="1:4" x14ac:dyDescent="0.2">
      <c r="A10" s="3" t="s">
        <v>8</v>
      </c>
      <c r="B10" s="3">
        <v>500</v>
      </c>
      <c r="C10" s="3"/>
      <c r="D10" s="4">
        <f>10*45</f>
        <v>450</v>
      </c>
    </row>
    <row r="11" spans="1:4" x14ac:dyDescent="0.2">
      <c r="A11" s="3" t="s">
        <v>4</v>
      </c>
      <c r="B11" s="3">
        <v>2</v>
      </c>
      <c r="C11" s="3"/>
      <c r="D11" s="4">
        <f>2*105</f>
        <v>210</v>
      </c>
    </row>
    <row r="12" spans="1:4" x14ac:dyDescent="0.2">
      <c r="A12" s="3" t="s">
        <v>2</v>
      </c>
      <c r="B12" s="3">
        <v>60</v>
      </c>
      <c r="C12" s="3"/>
      <c r="D12" s="4">
        <f>2*104.3</f>
        <v>208.6</v>
      </c>
    </row>
    <row r="13" spans="1:4" x14ac:dyDescent="0.2">
      <c r="A13" s="3"/>
      <c r="B13" s="3"/>
      <c r="C13" s="6" t="s">
        <v>13</v>
      </c>
      <c r="D13" s="5">
        <f>SUM(D10:D12)</f>
        <v>868.6</v>
      </c>
    </row>
    <row r="14" spans="1:4" x14ac:dyDescent="0.2">
      <c r="A14" s="3" t="s">
        <v>1</v>
      </c>
      <c r="B14" s="3"/>
      <c r="C14" s="3"/>
      <c r="D14" s="5">
        <f>SUM(D3:D13)</f>
        <v>2756.1</v>
      </c>
    </row>
    <row r="15" spans="1:4" x14ac:dyDescent="0.2">
      <c r="D15" s="1"/>
    </row>
    <row r="16" spans="1:4" x14ac:dyDescent="0.2">
      <c r="D16" s="1"/>
    </row>
    <row r="17" spans="4:4" x14ac:dyDescent="0.2">
      <c r="D17" s="1"/>
    </row>
    <row r="18" spans="4:4" x14ac:dyDescent="0.2">
      <c r="D18" s="1"/>
    </row>
    <row r="19" spans="4:4" x14ac:dyDescent="0.2">
      <c r="D19" s="1"/>
    </row>
    <row r="20" spans="4:4" x14ac:dyDescent="0.2">
      <c r="D20" s="1"/>
    </row>
    <row r="21" spans="4:4" x14ac:dyDescent="0.2">
      <c r="D21" s="1"/>
    </row>
    <row r="22" spans="4:4" x14ac:dyDescent="0.2">
      <c r="D22" s="1"/>
    </row>
    <row r="23" spans="4:4" x14ac:dyDescent="0.2">
      <c r="D23" s="1"/>
    </row>
    <row r="24" spans="4:4" x14ac:dyDescent="0.2">
      <c r="D24" s="1"/>
    </row>
    <row r="25" spans="4:4" x14ac:dyDescent="0.2">
      <c r="D25" s="1"/>
    </row>
    <row r="26" spans="4:4" x14ac:dyDescent="0.2">
      <c r="D26" s="1"/>
    </row>
    <row r="27" spans="4:4" x14ac:dyDescent="0.2">
      <c r="D27" s="1"/>
    </row>
    <row r="28" spans="4:4" x14ac:dyDescent="0.2">
      <c r="D28" s="1"/>
    </row>
  </sheetData>
  <pageMargins left="0.7" right="0.7" top="0.75" bottom="0.75" header="0.3" footer="0.3"/>
  <pageSetup paperSize="9" orientation="portrait" horizontalDpi="300" verticalDpi="3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D8216A3BCF59A4CAC1EDC9B65F03F94" ma:contentTypeVersion="15" ma:contentTypeDescription="Create a new document." ma:contentTypeScope="" ma:versionID="7a5dd83b0615c7ab65f6e497dc3f1a67">
  <xsd:schema xmlns:xsd="http://www.w3.org/2001/XMLSchema" xmlns:xs="http://www.w3.org/2001/XMLSchema" xmlns:p="http://schemas.microsoft.com/office/2006/metadata/properties" xmlns:ns2="7e7f2dcd-0c2b-4478-ad05-247cf739c5b2" xmlns:ns3="7c6541c9-858d-46cc-aee4-1fa681dc1bd6" targetNamespace="http://schemas.microsoft.com/office/2006/metadata/properties" ma:root="true" ma:fieldsID="8b3083ab368e81f90f854d4b93d60013" ns2:_="" ns3:_="">
    <xsd:import namespace="7e7f2dcd-0c2b-4478-ad05-247cf739c5b2"/>
    <xsd:import namespace="7c6541c9-858d-46cc-aee4-1fa681dc1bd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e7f2dcd-0c2b-4478-ad05-247cf739c5b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1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5bd66242-e0b1-4d5e-a424-ed2be647a71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6541c9-858d-46cc-aee4-1fa681dc1bd6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5de6d577-5e06-4df3-9e53-a11405c55b7c}" ma:internalName="TaxCatchAll" ma:showField="CatchAllData" ma:web="7c6541c9-858d-46cc-aee4-1fa681dc1bd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MediaLengthInSeconds xmlns="7e7f2dcd-0c2b-4478-ad05-247cf739c5b2" xsi:nil="true"/>
    <lcf76f155ced4ddcb4097134ff3c332f xmlns="7e7f2dcd-0c2b-4478-ad05-247cf739c5b2">
      <Terms xmlns="http://schemas.microsoft.com/office/infopath/2007/PartnerControls"/>
    </lcf76f155ced4ddcb4097134ff3c332f>
    <TaxCatchAll xmlns="7c6541c9-858d-46cc-aee4-1fa681dc1bd6" xsi:nil="true"/>
  </documentManagement>
</p:properties>
</file>

<file path=customXml/itemProps1.xml><?xml version="1.0" encoding="utf-8"?>
<ds:datastoreItem xmlns:ds="http://schemas.openxmlformats.org/officeDocument/2006/customXml" ds:itemID="{01315F6E-231C-4D9A-8F53-55B8495459BC}"/>
</file>

<file path=customXml/itemProps2.xml><?xml version="1.0" encoding="utf-8"?>
<ds:datastoreItem xmlns:ds="http://schemas.openxmlformats.org/officeDocument/2006/customXml" ds:itemID="{D5B9D989-B3B0-43B9-976A-09FBA7A54E9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DA2C9E4-7EFA-4A86-B783-366B17446975}">
  <ds:schemaRefs>
    <ds:schemaRef ds:uri="http://schemas.openxmlformats.org/package/2006/metadata/core-properties"/>
    <ds:schemaRef ds:uri="http://www.w3.org/XML/1998/namespace"/>
    <ds:schemaRef ds:uri="http://schemas.microsoft.com/office/2006/documentManagement/types"/>
    <ds:schemaRef ds:uri="http://purl.org/dc/terms/"/>
    <ds:schemaRef ds:uri="http://purl.org/dc/dcmitype/"/>
    <ds:schemaRef ds:uri="7e7f2dcd-0c2b-4478-ad05-247cf739c5b2"/>
    <ds:schemaRef ds:uri="http://purl.org/dc/elements/1.1/"/>
    <ds:schemaRef ds:uri="http://schemas.microsoft.com/office/infopath/2007/PartnerControls"/>
    <ds:schemaRef ds:uri="7c6541c9-858d-46cc-aee4-1fa681dc1bd6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Blad1</vt:lpstr>
      <vt:lpstr>Bijgewerkte Factuur template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Dion Hoegen</dc:creator>
  <cp:lastModifiedBy>Aljereau Marten</cp:lastModifiedBy>
  <cp:lastPrinted>2025-06-27T11:32:44Z</cp:lastPrinted>
  <dcterms:created xsi:type="dcterms:W3CDTF">2023-12-07T12:03:11Z</dcterms:created>
  <dcterms:modified xsi:type="dcterms:W3CDTF">2025-11-20T12:46:57Z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0x010100FD8216A3BCF59A4CAC1EDC9B65F03F94</vt:lpwstr>
  </property>
  <property fmtid="{D5CDD505-2E9C-101B-9397-08002B2CF9AE}" pid="4" name="ComplianceAssetId">
    <vt:lpwstr/>
  </property>
  <property fmtid="{D5CDD505-2E9C-101B-9397-08002B2CF9AE}" pid="5" name="_ExtendedDescription">
    <vt:lpwstr/>
  </property>
  <property fmtid="{D5CDD505-2E9C-101B-9397-08002B2CF9AE}" pid="6" name="TriggerFlowInfo">
    <vt:lpwstr/>
  </property>
</Properties>
</file>