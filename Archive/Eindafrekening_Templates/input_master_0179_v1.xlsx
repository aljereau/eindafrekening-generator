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/>
  <mc:AlternateContent xmlns:mc="http://schemas.openxmlformats.org/markup-compatibility/2006">
    <mc:Choice Requires="x15">
      <x15ac:absPath xmlns:x15ac="http://schemas.microsoft.com/office/spreadsheetml/2010/11/ac" url="https://ryanrent.sharepoint.com/sites/RyanRent/Gedeelde documenten/General/01_RyanRent&amp;Co/Aljereau/Eindafrekening Generator/Eindafrekening/src/"/>
    </mc:Choice>
  </mc:AlternateContent>
  <xr:revisionPtr revIDLastSave="7" documentId="8_{A7818436-9937-F74C-B7E6-4F15B653AD0D}" xr6:coauthVersionLast="47" xr6:coauthVersionMax="47" xr10:uidLastSave="{DC089ADF-4EB2-C246-B19A-E9D46D2F61EB}"/>
  <bookViews>
    <workbookView xWindow="-2220" yWindow="-21100" windowWidth="38400" windowHeight="21100" activeTab="1" xr2:uid="{00000000-000D-0000-FFFF-FFFF00000000}"/>
  </bookViews>
  <sheets>
    <sheet name="Dashboard" sheetId="1" r:id="rId1"/>
    <sheet name="Input" sheetId="2" r:id="rId2"/>
    <sheet name="Lists" sheetId="3" state="hidden" r:id="rId3"/>
  </sheets>
  <definedNames>
    <definedName name="Gas_verbruik">Input!$B$9</definedName>
    <definedName name="KWh_verbruik">Input!$B$6</definedName>
    <definedName name="Water_verbruik">Input!$B$12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8" i="2" l="1"/>
  <c r="AB3" i="2"/>
  <c r="AB4" i="2"/>
  <c r="AB6" i="2"/>
  <c r="AB7" i="2"/>
  <c r="AB11" i="2"/>
  <c r="AB5" i="2"/>
  <c r="AD5" i="2"/>
  <c r="AF5" i="2" s="1"/>
  <c r="AD6" i="2"/>
  <c r="AF6" i="2" s="1"/>
  <c r="AH6" i="2" s="1"/>
  <c r="AD7" i="2"/>
  <c r="AF7" i="2" s="1"/>
  <c r="AH8" i="2"/>
  <c r="AI8" i="2" s="1"/>
  <c r="AF9" i="2"/>
  <c r="AF10" i="2"/>
  <c r="AD11" i="2"/>
  <c r="AF11" i="2" s="1"/>
  <c r="AF12" i="2"/>
  <c r="AH12" i="2" s="1"/>
  <c r="AF13" i="2"/>
  <c r="AD201" i="2"/>
  <c r="AF201" i="2" s="1"/>
  <c r="W201" i="2"/>
  <c r="D201" i="2"/>
  <c r="AD200" i="2"/>
  <c r="AF200" i="2" s="1"/>
  <c r="W200" i="2"/>
  <c r="D200" i="2"/>
  <c r="AD199" i="2"/>
  <c r="AF199" i="2" s="1"/>
  <c r="W199" i="2"/>
  <c r="D199" i="2"/>
  <c r="AD198" i="2"/>
  <c r="AF198" i="2" s="1"/>
  <c r="W198" i="2"/>
  <c r="D198" i="2"/>
  <c r="AD197" i="2"/>
  <c r="AF197" i="2" s="1"/>
  <c r="W197" i="2"/>
  <c r="Y197" i="2" s="1"/>
  <c r="Z197" i="2" s="1"/>
  <c r="D197" i="2"/>
  <c r="AD196" i="2"/>
  <c r="AF196" i="2" s="1"/>
  <c r="W196" i="2"/>
  <c r="D196" i="2"/>
  <c r="AD195" i="2"/>
  <c r="AF195" i="2" s="1"/>
  <c r="Y195" i="2"/>
  <c r="Z195" i="2" s="1"/>
  <c r="W195" i="2"/>
  <c r="D195" i="2"/>
  <c r="AD194" i="2"/>
  <c r="AF194" i="2" s="1"/>
  <c r="W194" i="2"/>
  <c r="Y194" i="2" s="1"/>
  <c r="Z194" i="2" s="1"/>
  <c r="D194" i="2"/>
  <c r="AD193" i="2"/>
  <c r="AF193" i="2" s="1"/>
  <c r="Y193" i="2"/>
  <c r="W193" i="2"/>
  <c r="Z193" i="2" s="1"/>
  <c r="D193" i="2"/>
  <c r="AD192" i="2"/>
  <c r="AF192" i="2" s="1"/>
  <c r="W192" i="2"/>
  <c r="D192" i="2"/>
  <c r="AD191" i="2"/>
  <c r="AF191" i="2" s="1"/>
  <c r="W191" i="2"/>
  <c r="D191" i="2"/>
  <c r="AD190" i="2"/>
  <c r="AF190" i="2" s="1"/>
  <c r="W190" i="2"/>
  <c r="Y190" i="2" s="1"/>
  <c r="Z190" i="2" s="1"/>
  <c r="D190" i="2"/>
  <c r="AD189" i="2"/>
  <c r="AF189" i="2" s="1"/>
  <c r="W189" i="2"/>
  <c r="D189" i="2"/>
  <c r="AD188" i="2"/>
  <c r="AF188" i="2" s="1"/>
  <c r="Y188" i="2"/>
  <c r="Z188" i="2" s="1"/>
  <c r="W188" i="2"/>
  <c r="D188" i="2"/>
  <c r="AD187" i="2"/>
  <c r="AF187" i="2" s="1"/>
  <c r="W187" i="2"/>
  <c r="Y187" i="2" s="1"/>
  <c r="Z187" i="2" s="1"/>
  <c r="D187" i="2"/>
  <c r="AD186" i="2"/>
  <c r="AF186" i="2" s="1"/>
  <c r="Y186" i="2"/>
  <c r="W186" i="2"/>
  <c r="Z186" i="2" s="1"/>
  <c r="D186" i="2"/>
  <c r="AD185" i="2"/>
  <c r="AF185" i="2" s="1"/>
  <c r="W185" i="2"/>
  <c r="D185" i="2"/>
  <c r="AD184" i="2"/>
  <c r="AF184" i="2" s="1"/>
  <c r="W184" i="2"/>
  <c r="D184" i="2"/>
  <c r="AD183" i="2"/>
  <c r="AF183" i="2" s="1"/>
  <c r="W183" i="2"/>
  <c r="Y183" i="2" s="1"/>
  <c r="Z183" i="2" s="1"/>
  <c r="D183" i="2"/>
  <c r="AD182" i="2"/>
  <c r="AF182" i="2" s="1"/>
  <c r="W182" i="2"/>
  <c r="D182" i="2"/>
  <c r="AD181" i="2"/>
  <c r="AF181" i="2" s="1"/>
  <c r="Y181" i="2"/>
  <c r="Z181" i="2" s="1"/>
  <c r="W181" i="2"/>
  <c r="D181" i="2"/>
  <c r="AD180" i="2"/>
  <c r="AF180" i="2" s="1"/>
  <c r="W180" i="2"/>
  <c r="Y180" i="2" s="1"/>
  <c r="Z180" i="2" s="1"/>
  <c r="D180" i="2"/>
  <c r="AD179" i="2"/>
  <c r="AF179" i="2" s="1"/>
  <c r="Y179" i="2"/>
  <c r="W179" i="2"/>
  <c r="Z179" i="2" s="1"/>
  <c r="D179" i="2"/>
  <c r="AD178" i="2"/>
  <c r="AF178" i="2" s="1"/>
  <c r="W178" i="2"/>
  <c r="D178" i="2"/>
  <c r="AD177" i="2"/>
  <c r="AF177" i="2" s="1"/>
  <c r="W177" i="2"/>
  <c r="D177" i="2"/>
  <c r="AD176" i="2"/>
  <c r="AF176" i="2" s="1"/>
  <c r="W176" i="2"/>
  <c r="Y176" i="2" s="1"/>
  <c r="Z176" i="2" s="1"/>
  <c r="D176" i="2"/>
  <c r="AD175" i="2"/>
  <c r="AF175" i="2" s="1"/>
  <c r="W175" i="2"/>
  <c r="D175" i="2"/>
  <c r="AD174" i="2"/>
  <c r="AF174" i="2" s="1"/>
  <c r="Y174" i="2"/>
  <c r="Z174" i="2" s="1"/>
  <c r="W174" i="2"/>
  <c r="D174" i="2"/>
  <c r="AD173" i="2"/>
  <c r="AF173" i="2" s="1"/>
  <c r="W173" i="2"/>
  <c r="Y173" i="2" s="1"/>
  <c r="Z173" i="2" s="1"/>
  <c r="D173" i="2"/>
  <c r="AD172" i="2"/>
  <c r="AF172" i="2" s="1"/>
  <c r="AH172" i="2" s="1"/>
  <c r="Y172" i="2"/>
  <c r="W172" i="2"/>
  <c r="Z172" i="2" s="1"/>
  <c r="D172" i="2"/>
  <c r="AD171" i="2"/>
  <c r="AF171" i="2" s="1"/>
  <c r="W171" i="2"/>
  <c r="D171" i="2"/>
  <c r="AD170" i="2"/>
  <c r="AF170" i="2" s="1"/>
  <c r="W170" i="2"/>
  <c r="Y170" i="2" s="1"/>
  <c r="Z170" i="2" s="1"/>
  <c r="D170" i="2"/>
  <c r="AD169" i="2"/>
  <c r="AF169" i="2" s="1"/>
  <c r="W169" i="2"/>
  <c r="Y169" i="2" s="1"/>
  <c r="Z169" i="2" s="1"/>
  <c r="D169" i="2"/>
  <c r="AD168" i="2"/>
  <c r="AF168" i="2" s="1"/>
  <c r="W168" i="2"/>
  <c r="D168" i="2"/>
  <c r="AD167" i="2"/>
  <c r="AF167" i="2" s="1"/>
  <c r="Y167" i="2"/>
  <c r="Z167" i="2" s="1"/>
  <c r="W167" i="2"/>
  <c r="D167" i="2"/>
  <c r="AD166" i="2"/>
  <c r="AF166" i="2" s="1"/>
  <c r="W166" i="2"/>
  <c r="Y166" i="2" s="1"/>
  <c r="Z166" i="2" s="1"/>
  <c r="D166" i="2"/>
  <c r="AD165" i="2"/>
  <c r="AF165" i="2" s="1"/>
  <c r="AH165" i="2" s="1"/>
  <c r="Y165" i="2"/>
  <c r="W165" i="2"/>
  <c r="Z165" i="2" s="1"/>
  <c r="D165" i="2"/>
  <c r="AD164" i="2"/>
  <c r="AF164" i="2" s="1"/>
  <c r="W164" i="2"/>
  <c r="D164" i="2"/>
  <c r="AD163" i="2"/>
  <c r="AF163" i="2" s="1"/>
  <c r="AH163" i="2" s="1"/>
  <c r="Z163" i="2"/>
  <c r="Y163" i="2"/>
  <c r="W163" i="2"/>
  <c r="D163" i="2"/>
  <c r="AD162" i="2"/>
  <c r="AF162" i="2" s="1"/>
  <c r="W162" i="2"/>
  <c r="Y162" i="2" s="1"/>
  <c r="Z162" i="2" s="1"/>
  <c r="D162" i="2"/>
  <c r="AD161" i="2"/>
  <c r="AF161" i="2" s="1"/>
  <c r="W161" i="2"/>
  <c r="D161" i="2"/>
  <c r="AD160" i="2"/>
  <c r="AF160" i="2" s="1"/>
  <c r="Y160" i="2"/>
  <c r="Z160" i="2" s="1"/>
  <c r="W160" i="2"/>
  <c r="D160" i="2"/>
  <c r="AD159" i="2"/>
  <c r="AF159" i="2" s="1"/>
  <c r="W159" i="2"/>
  <c r="Y159" i="2" s="1"/>
  <c r="Z159" i="2" s="1"/>
  <c r="D159" i="2"/>
  <c r="AD158" i="2"/>
  <c r="AF158" i="2" s="1"/>
  <c r="AH158" i="2" s="1"/>
  <c r="Y158" i="2"/>
  <c r="W158" i="2"/>
  <c r="Z158" i="2" s="1"/>
  <c r="D158" i="2"/>
  <c r="AD157" i="2"/>
  <c r="AF157" i="2" s="1"/>
  <c r="W157" i="2"/>
  <c r="D157" i="2"/>
  <c r="AD156" i="2"/>
  <c r="AF156" i="2" s="1"/>
  <c r="Z156" i="2"/>
  <c r="Y156" i="2"/>
  <c r="W156" i="2"/>
  <c r="D156" i="2"/>
  <c r="AD155" i="2"/>
  <c r="AF155" i="2" s="1"/>
  <c r="AH155" i="2" s="1"/>
  <c r="Z155" i="2"/>
  <c r="W155" i="2"/>
  <c r="Y155" i="2" s="1"/>
  <c r="D155" i="2"/>
  <c r="AD154" i="2"/>
  <c r="AF154" i="2" s="1"/>
  <c r="W154" i="2"/>
  <c r="D154" i="2"/>
  <c r="AD153" i="2"/>
  <c r="AF153" i="2" s="1"/>
  <c r="Y153" i="2"/>
  <c r="Z153" i="2" s="1"/>
  <c r="W153" i="2"/>
  <c r="D153" i="2"/>
  <c r="AD152" i="2"/>
  <c r="AF152" i="2" s="1"/>
  <c r="Z152" i="2"/>
  <c r="Y152" i="2"/>
  <c r="W152" i="2"/>
  <c r="D152" i="2"/>
  <c r="AD151" i="2"/>
  <c r="AF151" i="2" s="1"/>
  <c r="AH151" i="2" s="1"/>
  <c r="Y151" i="2"/>
  <c r="W151" i="2"/>
  <c r="Z151" i="2" s="1"/>
  <c r="D151" i="2"/>
  <c r="AD150" i="2"/>
  <c r="AF150" i="2" s="1"/>
  <c r="W150" i="2"/>
  <c r="D150" i="2"/>
  <c r="AD149" i="2"/>
  <c r="AF149" i="2" s="1"/>
  <c r="Z149" i="2"/>
  <c r="Y149" i="2"/>
  <c r="W149" i="2"/>
  <c r="D149" i="2"/>
  <c r="AD148" i="2"/>
  <c r="AF148" i="2" s="1"/>
  <c r="AH148" i="2" s="1"/>
  <c r="AI148" i="2" s="1"/>
  <c r="W148" i="2"/>
  <c r="Y148" i="2" s="1"/>
  <c r="Z148" i="2" s="1"/>
  <c r="D148" i="2"/>
  <c r="AD147" i="2"/>
  <c r="AF147" i="2" s="1"/>
  <c r="W147" i="2"/>
  <c r="D147" i="2"/>
  <c r="AD146" i="2"/>
  <c r="AF146" i="2" s="1"/>
  <c r="Y146" i="2"/>
  <c r="Z146" i="2" s="1"/>
  <c r="W146" i="2"/>
  <c r="D146" i="2"/>
  <c r="AD145" i="2"/>
  <c r="AF145" i="2" s="1"/>
  <c r="Y145" i="2"/>
  <c r="Z145" i="2" s="1"/>
  <c r="W145" i="2"/>
  <c r="D145" i="2"/>
  <c r="AD144" i="2"/>
  <c r="AF144" i="2" s="1"/>
  <c r="AH144" i="2" s="1"/>
  <c r="Y144" i="2"/>
  <c r="W144" i="2"/>
  <c r="D144" i="2"/>
  <c r="AD143" i="2"/>
  <c r="AF143" i="2" s="1"/>
  <c r="W143" i="2"/>
  <c r="D143" i="2"/>
  <c r="AD142" i="2"/>
  <c r="AF142" i="2" s="1"/>
  <c r="Z142" i="2"/>
  <c r="Y142" i="2"/>
  <c r="W142" i="2"/>
  <c r="D142" i="2"/>
  <c r="AD141" i="2"/>
  <c r="AF141" i="2" s="1"/>
  <c r="W141" i="2"/>
  <c r="Y141" i="2" s="1"/>
  <c r="Z141" i="2" s="1"/>
  <c r="D141" i="2"/>
  <c r="AD140" i="2"/>
  <c r="AF140" i="2" s="1"/>
  <c r="AH140" i="2" s="1"/>
  <c r="W140" i="2"/>
  <c r="D140" i="2"/>
  <c r="AD139" i="2"/>
  <c r="AF139" i="2" s="1"/>
  <c r="Y139" i="2"/>
  <c r="Z139" i="2" s="1"/>
  <c r="W139" i="2"/>
  <c r="D139" i="2"/>
  <c r="AD138" i="2"/>
  <c r="AF138" i="2" s="1"/>
  <c r="Y138" i="2"/>
  <c r="Z138" i="2" s="1"/>
  <c r="W138" i="2"/>
  <c r="D138" i="2"/>
  <c r="AD137" i="2"/>
  <c r="AF137" i="2" s="1"/>
  <c r="AH137" i="2" s="1"/>
  <c r="Y137" i="2"/>
  <c r="W137" i="2"/>
  <c r="Z137" i="2" s="1"/>
  <c r="D137" i="2"/>
  <c r="AD136" i="2"/>
  <c r="AF136" i="2" s="1"/>
  <c r="W136" i="2"/>
  <c r="D136" i="2"/>
  <c r="AD135" i="2"/>
  <c r="AF135" i="2" s="1"/>
  <c r="AH135" i="2" s="1"/>
  <c r="Z135" i="2"/>
  <c r="Y135" i="2"/>
  <c r="W135" i="2"/>
  <c r="D135" i="2"/>
  <c r="AD134" i="2"/>
  <c r="AF134" i="2" s="1"/>
  <c r="W134" i="2"/>
  <c r="Y134" i="2" s="1"/>
  <c r="Z134" i="2" s="1"/>
  <c r="D134" i="2"/>
  <c r="AD133" i="2"/>
  <c r="AF133" i="2" s="1"/>
  <c r="AH133" i="2" s="1"/>
  <c r="Y133" i="2"/>
  <c r="W133" i="2"/>
  <c r="D133" i="2"/>
  <c r="AD132" i="2"/>
  <c r="AF132" i="2" s="1"/>
  <c r="Y132" i="2"/>
  <c r="Z132" i="2" s="1"/>
  <c r="W132" i="2"/>
  <c r="D132" i="2"/>
  <c r="AD131" i="2"/>
  <c r="AF131" i="2" s="1"/>
  <c r="AH131" i="2" s="1"/>
  <c r="Y131" i="2"/>
  <c r="Z131" i="2" s="1"/>
  <c r="W131" i="2"/>
  <c r="D131" i="2"/>
  <c r="AD130" i="2"/>
  <c r="AF130" i="2" s="1"/>
  <c r="AH130" i="2" s="1"/>
  <c r="W130" i="2"/>
  <c r="D130" i="2"/>
  <c r="AD129" i="2"/>
  <c r="AF129" i="2" s="1"/>
  <c r="W129" i="2"/>
  <c r="D129" i="2"/>
  <c r="AD128" i="2"/>
  <c r="AF128" i="2" s="1"/>
  <c r="Z128" i="2"/>
  <c r="Y128" i="2"/>
  <c r="W128" i="2"/>
  <c r="D128" i="2"/>
  <c r="AD127" i="2"/>
  <c r="AF127" i="2" s="1"/>
  <c r="W127" i="2"/>
  <c r="Y127" i="2" s="1"/>
  <c r="Z127" i="2" s="1"/>
  <c r="D127" i="2"/>
  <c r="AD126" i="2"/>
  <c r="AF126" i="2" s="1"/>
  <c r="Y126" i="2"/>
  <c r="W126" i="2"/>
  <c r="D126" i="2"/>
  <c r="AD125" i="2"/>
  <c r="AF125" i="2" s="1"/>
  <c r="Y125" i="2"/>
  <c r="Z125" i="2" s="1"/>
  <c r="W125" i="2"/>
  <c r="D125" i="2"/>
  <c r="AD124" i="2"/>
  <c r="AF124" i="2" s="1"/>
  <c r="AH124" i="2" s="1"/>
  <c r="Y124" i="2"/>
  <c r="Z124" i="2" s="1"/>
  <c r="W124" i="2"/>
  <c r="D124" i="2"/>
  <c r="AD123" i="2"/>
  <c r="AF123" i="2" s="1"/>
  <c r="AH123" i="2" s="1"/>
  <c r="W123" i="2"/>
  <c r="Y123" i="2" s="1"/>
  <c r="D123" i="2"/>
  <c r="AD122" i="2"/>
  <c r="AF122" i="2" s="1"/>
  <c r="W122" i="2"/>
  <c r="D122" i="2"/>
  <c r="AD121" i="2"/>
  <c r="AF121" i="2" s="1"/>
  <c r="Z121" i="2"/>
  <c r="Y121" i="2"/>
  <c r="W121" i="2"/>
  <c r="D121" i="2"/>
  <c r="AD120" i="2"/>
  <c r="AF120" i="2" s="1"/>
  <c r="W120" i="2"/>
  <c r="Y120" i="2" s="1"/>
  <c r="Z120" i="2" s="1"/>
  <c r="D120" i="2"/>
  <c r="AD119" i="2"/>
  <c r="AF119" i="2" s="1"/>
  <c r="W119" i="2"/>
  <c r="D119" i="2"/>
  <c r="AD118" i="2"/>
  <c r="AF118" i="2" s="1"/>
  <c r="Y118" i="2"/>
  <c r="Z118" i="2" s="1"/>
  <c r="W118" i="2"/>
  <c r="D118" i="2"/>
  <c r="AD117" i="2"/>
  <c r="AF117" i="2" s="1"/>
  <c r="AH117" i="2" s="1"/>
  <c r="Y117" i="2"/>
  <c r="Z117" i="2" s="1"/>
  <c r="W117" i="2"/>
  <c r="D117" i="2"/>
  <c r="AD116" i="2"/>
  <c r="AF116" i="2" s="1"/>
  <c r="AH116" i="2" s="1"/>
  <c r="W116" i="2"/>
  <c r="D116" i="2"/>
  <c r="AD115" i="2"/>
  <c r="AF115" i="2" s="1"/>
  <c r="W115" i="2"/>
  <c r="D115" i="2"/>
  <c r="AD114" i="2"/>
  <c r="AF114" i="2" s="1"/>
  <c r="Z114" i="2"/>
  <c r="Y114" i="2"/>
  <c r="W114" i="2"/>
  <c r="D114" i="2"/>
  <c r="AD113" i="2"/>
  <c r="AF113" i="2" s="1"/>
  <c r="AH113" i="2" s="1"/>
  <c r="AI113" i="2" s="1"/>
  <c r="W113" i="2"/>
  <c r="Y113" i="2" s="1"/>
  <c r="Z113" i="2" s="1"/>
  <c r="D113" i="2"/>
  <c r="AD112" i="2"/>
  <c r="AF112" i="2" s="1"/>
  <c r="W112" i="2"/>
  <c r="D112" i="2"/>
  <c r="AD111" i="2"/>
  <c r="AF111" i="2" s="1"/>
  <c r="Y111" i="2"/>
  <c r="Z111" i="2" s="1"/>
  <c r="W111" i="2"/>
  <c r="D111" i="2"/>
  <c r="AD110" i="2"/>
  <c r="AF110" i="2" s="1"/>
  <c r="AH110" i="2" s="1"/>
  <c r="Z110" i="2"/>
  <c r="Y110" i="2"/>
  <c r="W110" i="2"/>
  <c r="D110" i="2"/>
  <c r="AD109" i="2"/>
  <c r="AF109" i="2" s="1"/>
  <c r="AH109" i="2" s="1"/>
  <c r="W109" i="2"/>
  <c r="D109" i="2"/>
  <c r="AD108" i="2"/>
  <c r="AF108" i="2" s="1"/>
  <c r="W108" i="2"/>
  <c r="D108" i="2"/>
  <c r="AD107" i="2"/>
  <c r="AF107" i="2" s="1"/>
  <c r="AH107" i="2" s="1"/>
  <c r="Z107" i="2"/>
  <c r="Y107" i="2"/>
  <c r="W107" i="2"/>
  <c r="D107" i="2"/>
  <c r="AD106" i="2"/>
  <c r="AF106" i="2" s="1"/>
  <c r="W106" i="2"/>
  <c r="Y106" i="2" s="1"/>
  <c r="Z106" i="2" s="1"/>
  <c r="D106" i="2"/>
  <c r="AD105" i="2"/>
  <c r="AF105" i="2" s="1"/>
  <c r="W105" i="2"/>
  <c r="D105" i="2"/>
  <c r="AD104" i="2"/>
  <c r="AF104" i="2" s="1"/>
  <c r="Y104" i="2"/>
  <c r="Z104" i="2" s="1"/>
  <c r="W104" i="2"/>
  <c r="D104" i="2"/>
  <c r="AD103" i="2"/>
  <c r="AF103" i="2" s="1"/>
  <c r="AH103" i="2" s="1"/>
  <c r="Y103" i="2"/>
  <c r="Z103" i="2" s="1"/>
  <c r="W103" i="2"/>
  <c r="D103" i="2"/>
  <c r="AD102" i="2"/>
  <c r="AF102" i="2" s="1"/>
  <c r="AH102" i="2" s="1"/>
  <c r="W102" i="2"/>
  <c r="D102" i="2"/>
  <c r="AD101" i="2"/>
  <c r="AF101" i="2" s="1"/>
  <c r="W101" i="2"/>
  <c r="D101" i="2"/>
  <c r="AD100" i="2"/>
  <c r="AF100" i="2" s="1"/>
  <c r="Z100" i="2"/>
  <c r="Y100" i="2"/>
  <c r="W100" i="2"/>
  <c r="D100" i="2"/>
  <c r="AD99" i="2"/>
  <c r="AF99" i="2" s="1"/>
  <c r="AH99" i="2" s="1"/>
  <c r="AI99" i="2" s="1"/>
  <c r="W99" i="2"/>
  <c r="Y99" i="2" s="1"/>
  <c r="Z99" i="2" s="1"/>
  <c r="D99" i="2"/>
  <c r="AD98" i="2"/>
  <c r="AF98" i="2" s="1"/>
  <c r="AH98" i="2" s="1"/>
  <c r="W98" i="2"/>
  <c r="D98" i="2"/>
  <c r="AD97" i="2"/>
  <c r="AF97" i="2" s="1"/>
  <c r="AH97" i="2" s="1"/>
  <c r="Y97" i="2"/>
  <c r="W97" i="2"/>
  <c r="D97" i="2"/>
  <c r="AD96" i="2"/>
  <c r="AF96" i="2" s="1"/>
  <c r="AH96" i="2" s="1"/>
  <c r="W96" i="2"/>
  <c r="D96" i="2"/>
  <c r="AD95" i="2"/>
  <c r="AF95" i="2" s="1"/>
  <c r="AH95" i="2" s="1"/>
  <c r="W95" i="2"/>
  <c r="D95" i="2"/>
  <c r="AD94" i="2"/>
  <c r="AF94" i="2" s="1"/>
  <c r="W94" i="2"/>
  <c r="Y94" i="2" s="1"/>
  <c r="D94" i="2"/>
  <c r="AD93" i="2"/>
  <c r="AF93" i="2" s="1"/>
  <c r="Z93" i="2"/>
  <c r="Y93" i="2"/>
  <c r="W93" i="2"/>
  <c r="D93" i="2"/>
  <c r="AD92" i="2"/>
  <c r="AF92" i="2" s="1"/>
  <c r="W92" i="2"/>
  <c r="Y92" i="2" s="1"/>
  <c r="Z92" i="2" s="1"/>
  <c r="D92" i="2"/>
  <c r="AD91" i="2"/>
  <c r="AF91" i="2" s="1"/>
  <c r="AH91" i="2" s="1"/>
  <c r="Y91" i="2"/>
  <c r="W91" i="2"/>
  <c r="D91" i="2"/>
  <c r="AD90" i="2"/>
  <c r="AF90" i="2" s="1"/>
  <c r="AH90" i="2" s="1"/>
  <c r="Y90" i="2"/>
  <c r="W90" i="2"/>
  <c r="D90" i="2"/>
  <c r="AD89" i="2"/>
  <c r="AF89" i="2" s="1"/>
  <c r="AH89" i="2" s="1"/>
  <c r="Y89" i="2"/>
  <c r="W89" i="2"/>
  <c r="Z89" i="2" s="1"/>
  <c r="D89" i="2"/>
  <c r="AD88" i="2"/>
  <c r="AF88" i="2" s="1"/>
  <c r="AH88" i="2" s="1"/>
  <c r="W88" i="2"/>
  <c r="D88" i="2"/>
  <c r="AD87" i="2"/>
  <c r="AF87" i="2" s="1"/>
  <c r="W87" i="2"/>
  <c r="Y87" i="2" s="1"/>
  <c r="D87" i="2"/>
  <c r="AD86" i="2"/>
  <c r="AF86" i="2" s="1"/>
  <c r="Z86" i="2"/>
  <c r="Y86" i="2"/>
  <c r="W86" i="2"/>
  <c r="D86" i="2"/>
  <c r="AD85" i="2"/>
  <c r="AF85" i="2" s="1"/>
  <c r="AH85" i="2" s="1"/>
  <c r="AI85" i="2" s="1"/>
  <c r="W85" i="2"/>
  <c r="Y85" i="2" s="1"/>
  <c r="Z85" i="2" s="1"/>
  <c r="D85" i="2"/>
  <c r="AD84" i="2"/>
  <c r="AF84" i="2" s="1"/>
  <c r="W84" i="2"/>
  <c r="D84" i="2"/>
  <c r="AD83" i="2"/>
  <c r="AF83" i="2" s="1"/>
  <c r="W83" i="2"/>
  <c r="D83" i="2"/>
  <c r="AD82" i="2"/>
  <c r="AF82" i="2" s="1"/>
  <c r="AH82" i="2" s="1"/>
  <c r="W82" i="2"/>
  <c r="D82" i="2"/>
  <c r="AD81" i="2"/>
  <c r="AF81" i="2" s="1"/>
  <c r="AH81" i="2" s="1"/>
  <c r="W81" i="2"/>
  <c r="Y81" i="2" s="1"/>
  <c r="Z81" i="2" s="1"/>
  <c r="D81" i="2"/>
  <c r="AD80" i="2"/>
  <c r="AF80" i="2" s="1"/>
  <c r="W80" i="2"/>
  <c r="Y80" i="2" s="1"/>
  <c r="D80" i="2"/>
  <c r="AD79" i="2"/>
  <c r="AF79" i="2" s="1"/>
  <c r="Z79" i="2"/>
  <c r="Y79" i="2"/>
  <c r="W79" i="2"/>
  <c r="D79" i="2"/>
  <c r="AD78" i="2"/>
  <c r="AF78" i="2" s="1"/>
  <c r="W78" i="2"/>
  <c r="Y78" i="2" s="1"/>
  <c r="Z78" i="2" s="1"/>
  <c r="D78" i="2"/>
  <c r="AD77" i="2"/>
  <c r="AF77" i="2" s="1"/>
  <c r="Y77" i="2"/>
  <c r="W77" i="2"/>
  <c r="D77" i="2"/>
  <c r="AD76" i="2"/>
  <c r="AF76" i="2" s="1"/>
  <c r="AH76" i="2" s="1"/>
  <c r="Y76" i="2"/>
  <c r="W76" i="2"/>
  <c r="D76" i="2"/>
  <c r="AD75" i="2"/>
  <c r="AF75" i="2" s="1"/>
  <c r="AH75" i="2" s="1"/>
  <c r="W75" i="2"/>
  <c r="D75" i="2"/>
  <c r="AD74" i="2"/>
  <c r="AF74" i="2" s="1"/>
  <c r="AH74" i="2" s="1"/>
  <c r="W74" i="2"/>
  <c r="D74" i="2"/>
  <c r="AD73" i="2"/>
  <c r="AF73" i="2" s="1"/>
  <c r="W73" i="2"/>
  <c r="Y73" i="2" s="1"/>
  <c r="D73" i="2"/>
  <c r="AD72" i="2"/>
  <c r="AF72" i="2" s="1"/>
  <c r="Z72" i="2"/>
  <c r="Y72" i="2"/>
  <c r="W72" i="2"/>
  <c r="D72" i="2"/>
  <c r="AD71" i="2"/>
  <c r="AF71" i="2" s="1"/>
  <c r="W71" i="2"/>
  <c r="Y71" i="2" s="1"/>
  <c r="Z71" i="2" s="1"/>
  <c r="D71" i="2"/>
  <c r="AD70" i="2"/>
  <c r="AF70" i="2" s="1"/>
  <c r="AH70" i="2" s="1"/>
  <c r="AI70" i="2" s="1"/>
  <c r="W70" i="2"/>
  <c r="D70" i="2"/>
  <c r="AD69" i="2"/>
  <c r="AF69" i="2" s="1"/>
  <c r="W69" i="2"/>
  <c r="D69" i="2"/>
  <c r="AD68" i="2"/>
  <c r="AF68" i="2" s="1"/>
  <c r="AH68" i="2" s="1"/>
  <c r="W68" i="2"/>
  <c r="Y68" i="2" s="1"/>
  <c r="Z68" i="2" s="1"/>
  <c r="D68" i="2"/>
  <c r="AD67" i="2"/>
  <c r="AF67" i="2" s="1"/>
  <c r="AH67" i="2" s="1"/>
  <c r="W67" i="2"/>
  <c r="D67" i="2"/>
  <c r="AD66" i="2"/>
  <c r="AF66" i="2" s="1"/>
  <c r="W66" i="2"/>
  <c r="Y66" i="2" s="1"/>
  <c r="D66" i="2"/>
  <c r="AD65" i="2"/>
  <c r="AF65" i="2" s="1"/>
  <c r="Z65" i="2"/>
  <c r="Y65" i="2"/>
  <c r="W65" i="2"/>
  <c r="D65" i="2"/>
  <c r="AD64" i="2"/>
  <c r="AF64" i="2" s="1"/>
  <c r="Y64" i="2"/>
  <c r="Z64" i="2" s="1"/>
  <c r="W64" i="2"/>
  <c r="D64" i="2"/>
  <c r="AD63" i="2"/>
  <c r="AF63" i="2" s="1"/>
  <c r="W63" i="2"/>
  <c r="D63" i="2"/>
  <c r="AD62" i="2"/>
  <c r="AF62" i="2" s="1"/>
  <c r="AH62" i="2" s="1"/>
  <c r="W62" i="2"/>
  <c r="D62" i="2"/>
  <c r="AD61" i="2"/>
  <c r="AF61" i="2" s="1"/>
  <c r="W61" i="2"/>
  <c r="Y61" i="2" s="1"/>
  <c r="D61" i="2"/>
  <c r="AD60" i="2"/>
  <c r="AF60" i="2" s="1"/>
  <c r="W60" i="2"/>
  <c r="D60" i="2"/>
  <c r="AD59" i="2"/>
  <c r="AF59" i="2" s="1"/>
  <c r="W59" i="2"/>
  <c r="Y59" i="2" s="1"/>
  <c r="D59" i="2"/>
  <c r="AD58" i="2"/>
  <c r="AF58" i="2" s="1"/>
  <c r="Z58" i="2"/>
  <c r="Y58" i="2"/>
  <c r="W58" i="2"/>
  <c r="D58" i="2"/>
  <c r="AD57" i="2"/>
  <c r="AF57" i="2" s="1"/>
  <c r="AH57" i="2" s="1"/>
  <c r="AI57" i="2" s="1"/>
  <c r="Y57" i="2"/>
  <c r="Z57" i="2" s="1"/>
  <c r="W57" i="2"/>
  <c r="D57" i="2"/>
  <c r="AD56" i="2"/>
  <c r="AF56" i="2" s="1"/>
  <c r="W56" i="2"/>
  <c r="D56" i="2"/>
  <c r="AD55" i="2"/>
  <c r="AF55" i="2" s="1"/>
  <c r="AH55" i="2" s="1"/>
  <c r="W55" i="2"/>
  <c r="D55" i="2"/>
  <c r="AD54" i="2"/>
  <c r="AF54" i="2" s="1"/>
  <c r="Y54" i="2"/>
  <c r="W54" i="2"/>
  <c r="Z54" i="2" s="1"/>
  <c r="D54" i="2"/>
  <c r="AD53" i="2"/>
  <c r="AF53" i="2" s="1"/>
  <c r="AH53" i="2" s="1"/>
  <c r="AI53" i="2" s="1"/>
  <c r="W53" i="2"/>
  <c r="D53" i="2"/>
  <c r="AD52" i="2"/>
  <c r="AF52" i="2" s="1"/>
  <c r="W52" i="2"/>
  <c r="Y52" i="2" s="1"/>
  <c r="D52" i="2"/>
  <c r="AD51" i="2"/>
  <c r="AF51" i="2" s="1"/>
  <c r="Z51" i="2"/>
  <c r="Y51" i="2"/>
  <c r="W51" i="2"/>
  <c r="D51" i="2"/>
  <c r="AD50" i="2"/>
  <c r="AF50" i="2" s="1"/>
  <c r="Y50" i="2"/>
  <c r="Z50" i="2" s="1"/>
  <c r="W50" i="2"/>
  <c r="D50" i="2"/>
  <c r="AD49" i="2"/>
  <c r="AF49" i="2" s="1"/>
  <c r="AH49" i="2" s="1"/>
  <c r="AI49" i="2" s="1"/>
  <c r="W49" i="2"/>
  <c r="Y49" i="2" s="1"/>
  <c r="D49" i="2"/>
  <c r="AD48" i="2"/>
  <c r="AF48" i="2" s="1"/>
  <c r="AH48" i="2" s="1"/>
  <c r="W48" i="2"/>
  <c r="D48" i="2"/>
  <c r="AD47" i="2"/>
  <c r="AF47" i="2" s="1"/>
  <c r="AH47" i="2" s="1"/>
  <c r="AI47" i="2" s="1"/>
  <c r="W47" i="2"/>
  <c r="Y47" i="2" s="1"/>
  <c r="Z47" i="2" s="1"/>
  <c r="D47" i="2"/>
  <c r="AD46" i="2"/>
  <c r="AF46" i="2" s="1"/>
  <c r="W46" i="2"/>
  <c r="D46" i="2"/>
  <c r="AD45" i="2"/>
  <c r="AF45" i="2" s="1"/>
  <c r="Z45" i="2"/>
  <c r="W45" i="2"/>
  <c r="Y45" i="2" s="1"/>
  <c r="D45" i="2"/>
  <c r="AD44" i="2"/>
  <c r="AF44" i="2" s="1"/>
  <c r="Z44" i="2"/>
  <c r="Y44" i="2"/>
  <c r="W44" i="2"/>
  <c r="D44" i="2"/>
  <c r="AD43" i="2"/>
  <c r="AF43" i="2" s="1"/>
  <c r="Z43" i="2"/>
  <c r="Y43" i="2"/>
  <c r="W43" i="2"/>
  <c r="D43" i="2"/>
  <c r="AD42" i="2"/>
  <c r="AF42" i="2" s="1"/>
  <c r="W42" i="2"/>
  <c r="D42" i="2"/>
  <c r="AD41" i="2"/>
  <c r="AF41" i="2" s="1"/>
  <c r="AH41" i="2" s="1"/>
  <c r="Y41" i="2"/>
  <c r="W41" i="2"/>
  <c r="D41" i="2"/>
  <c r="AD40" i="2"/>
  <c r="AF40" i="2" s="1"/>
  <c r="W40" i="2"/>
  <c r="D40" i="2"/>
  <c r="AD39" i="2"/>
  <c r="AF39" i="2" s="1"/>
  <c r="Y39" i="2"/>
  <c r="Z39" i="2" s="1"/>
  <c r="W39" i="2"/>
  <c r="D39" i="2"/>
  <c r="AD38" i="2"/>
  <c r="AF38" i="2" s="1"/>
  <c r="Z38" i="2"/>
  <c r="W38" i="2"/>
  <c r="Y38" i="2" s="1"/>
  <c r="D38" i="2"/>
  <c r="AD37" i="2"/>
  <c r="AF37" i="2" s="1"/>
  <c r="Z37" i="2"/>
  <c r="Y37" i="2"/>
  <c r="W37" i="2"/>
  <c r="D37" i="2"/>
  <c r="AD36" i="2"/>
  <c r="AF36" i="2" s="1"/>
  <c r="AH36" i="2" s="1"/>
  <c r="Z36" i="2"/>
  <c r="Y36" i="2"/>
  <c r="W36" i="2"/>
  <c r="D36" i="2"/>
  <c r="AD35" i="2"/>
  <c r="AF35" i="2" s="1"/>
  <c r="Y35" i="2"/>
  <c r="W35" i="2"/>
  <c r="D35" i="2"/>
  <c r="AD34" i="2"/>
  <c r="AF34" i="2" s="1"/>
  <c r="AH34" i="2" s="1"/>
  <c r="Y34" i="2"/>
  <c r="W34" i="2"/>
  <c r="D34" i="2"/>
  <c r="AD33" i="2"/>
  <c r="AF33" i="2" s="1"/>
  <c r="Y33" i="2"/>
  <c r="Z33" i="2" s="1"/>
  <c r="W33" i="2"/>
  <c r="D33" i="2"/>
  <c r="AD32" i="2"/>
  <c r="AF32" i="2" s="1"/>
  <c r="W32" i="2"/>
  <c r="D32" i="2"/>
  <c r="AD31" i="2"/>
  <c r="AF31" i="2" s="1"/>
  <c r="Z31" i="2"/>
  <c r="W31" i="2"/>
  <c r="Y31" i="2" s="1"/>
  <c r="D31" i="2"/>
  <c r="AD30" i="2"/>
  <c r="AF30" i="2" s="1"/>
  <c r="AH30" i="2" s="1"/>
  <c r="W30" i="2"/>
  <c r="D30" i="2"/>
  <c r="AD29" i="2"/>
  <c r="AF29" i="2" s="1"/>
  <c r="Z29" i="2"/>
  <c r="Y29" i="2"/>
  <c r="W29" i="2"/>
  <c r="D29" i="2"/>
  <c r="AD28" i="2"/>
  <c r="AF28" i="2" s="1"/>
  <c r="Y28" i="2"/>
  <c r="W28" i="2"/>
  <c r="Z28" i="2" s="1"/>
  <c r="D28" i="2"/>
  <c r="AD27" i="2"/>
  <c r="AF27" i="2" s="1"/>
  <c r="W27" i="2"/>
  <c r="D27" i="2"/>
  <c r="AD26" i="2"/>
  <c r="AF26" i="2" s="1"/>
  <c r="Y26" i="2"/>
  <c r="W26" i="2"/>
  <c r="Z26" i="2" s="1"/>
  <c r="D26" i="2"/>
  <c r="AD25" i="2"/>
  <c r="AF25" i="2" s="1"/>
  <c r="AH25" i="2" s="1"/>
  <c r="AI25" i="2" s="1"/>
  <c r="W25" i="2"/>
  <c r="D25" i="2"/>
  <c r="AD24" i="2"/>
  <c r="AF24" i="2" s="1"/>
  <c r="Z24" i="2"/>
  <c r="W24" i="2"/>
  <c r="Y24" i="2" s="1"/>
  <c r="D24" i="2"/>
  <c r="AD23" i="2"/>
  <c r="AF23" i="2" s="1"/>
  <c r="W23" i="2"/>
  <c r="D23" i="2"/>
  <c r="AD22" i="2"/>
  <c r="AF22" i="2" s="1"/>
  <c r="Z22" i="2"/>
  <c r="Y22" i="2"/>
  <c r="W22" i="2"/>
  <c r="D22" i="2"/>
  <c r="AD21" i="2"/>
  <c r="AF21" i="2" s="1"/>
  <c r="Y21" i="2"/>
  <c r="W21" i="2"/>
  <c r="Z21" i="2" s="1"/>
  <c r="D21" i="2"/>
  <c r="AD20" i="2"/>
  <c r="AF20" i="2" s="1"/>
  <c r="Y20" i="2"/>
  <c r="W20" i="2"/>
  <c r="D20" i="2"/>
  <c r="AD19" i="2"/>
  <c r="AF19" i="2" s="1"/>
  <c r="Y19" i="2"/>
  <c r="W19" i="2"/>
  <c r="Z19" i="2" s="1"/>
  <c r="D19" i="2"/>
  <c r="AD18" i="2"/>
  <c r="AF18" i="2" s="1"/>
  <c r="W18" i="2"/>
  <c r="D18" i="2"/>
  <c r="AD17" i="2"/>
  <c r="AF17" i="2" s="1"/>
  <c r="Z17" i="2"/>
  <c r="W17" i="2"/>
  <c r="Y17" i="2" s="1"/>
  <c r="D17" i="2"/>
  <c r="AD16" i="2"/>
  <c r="AF16" i="2" s="1"/>
  <c r="W16" i="2"/>
  <c r="D16" i="2"/>
  <c r="AD15" i="2"/>
  <c r="AF15" i="2" s="1"/>
  <c r="AH15" i="2" s="1"/>
  <c r="AI15" i="2" s="1"/>
  <c r="Z15" i="2"/>
  <c r="Y15" i="2"/>
  <c r="W15" i="2"/>
  <c r="D15" i="2"/>
  <c r="AD14" i="2"/>
  <c r="AF14" i="2" s="1"/>
  <c r="W14" i="2"/>
  <c r="Y14" i="2" s="1"/>
  <c r="Z14" i="2" s="1"/>
  <c r="D14" i="2"/>
  <c r="W13" i="2"/>
  <c r="D13" i="2"/>
  <c r="W12" i="2"/>
  <c r="Y12" i="2" s="1"/>
  <c r="Z12" i="2" s="1"/>
  <c r="D12" i="2"/>
  <c r="Y11" i="2"/>
  <c r="W11" i="2"/>
  <c r="Z11" i="2" s="1"/>
  <c r="D11" i="2"/>
  <c r="W10" i="2"/>
  <c r="Y10" i="2" s="1"/>
  <c r="D10" i="2"/>
  <c r="Y9" i="2"/>
  <c r="W9" i="2"/>
  <c r="Z9" i="2" s="1"/>
  <c r="D9" i="2"/>
  <c r="Y8" i="2"/>
  <c r="Z8" i="2" s="1"/>
  <c r="W8" i="2"/>
  <c r="D8" i="2"/>
  <c r="W7" i="2"/>
  <c r="D7" i="2"/>
  <c r="Y6" i="2"/>
  <c r="W6" i="2"/>
  <c r="D6" i="2"/>
  <c r="W5" i="2"/>
  <c r="D5" i="2"/>
  <c r="AF4" i="2"/>
  <c r="AH4" i="2" s="1"/>
  <c r="AI4" i="2" s="1"/>
  <c r="W4" i="2"/>
  <c r="Y4" i="2" s="1"/>
  <c r="Z4" i="2" s="1"/>
  <c r="D4" i="2"/>
  <c r="AD3" i="2"/>
  <c r="AF3" i="2" s="1"/>
  <c r="W3" i="2"/>
  <c r="Y3" i="2" s="1"/>
  <c r="D3" i="2"/>
  <c r="AD2" i="2"/>
  <c r="AF2" i="2" s="1"/>
  <c r="W2" i="2"/>
  <c r="D2" i="2"/>
  <c r="E53" i="1"/>
  <c r="D53" i="1"/>
  <c r="C53" i="1"/>
  <c r="B53" i="1"/>
  <c r="E52" i="1"/>
  <c r="D52" i="1"/>
  <c r="C52" i="1"/>
  <c r="B52" i="1"/>
  <c r="E51" i="1"/>
  <c r="D51" i="1"/>
  <c r="C51" i="1"/>
  <c r="B51" i="1"/>
  <c r="E50" i="1"/>
  <c r="D50" i="1"/>
  <c r="C50" i="1"/>
  <c r="B50" i="1"/>
  <c r="E49" i="1"/>
  <c r="D49" i="1"/>
  <c r="C49" i="1"/>
  <c r="B49" i="1"/>
  <c r="E48" i="1"/>
  <c r="D48" i="1"/>
  <c r="C48" i="1"/>
  <c r="B48" i="1"/>
  <c r="E47" i="1"/>
  <c r="D47" i="1"/>
  <c r="C47" i="1"/>
  <c r="B47" i="1"/>
  <c r="E46" i="1"/>
  <c r="D46" i="1"/>
  <c r="C46" i="1"/>
  <c r="B46" i="1"/>
  <c r="E45" i="1"/>
  <c r="D45" i="1"/>
  <c r="C45" i="1"/>
  <c r="B45" i="1"/>
  <c r="E44" i="1"/>
  <c r="D44" i="1"/>
  <c r="C44" i="1"/>
  <c r="B44" i="1"/>
  <c r="E43" i="1"/>
  <c r="D43" i="1"/>
  <c r="C43" i="1"/>
  <c r="B43" i="1"/>
  <c r="E42" i="1"/>
  <c r="D42" i="1"/>
  <c r="C42" i="1"/>
  <c r="B42" i="1"/>
  <c r="E41" i="1"/>
  <c r="D41" i="1"/>
  <c r="C41" i="1"/>
  <c r="B41" i="1"/>
  <c r="E40" i="1"/>
  <c r="D40" i="1"/>
  <c r="C40" i="1"/>
  <c r="B40" i="1"/>
  <c r="E39" i="1"/>
  <c r="D39" i="1"/>
  <c r="C39" i="1"/>
  <c r="B39" i="1"/>
  <c r="E38" i="1"/>
  <c r="D38" i="1"/>
  <c r="C38" i="1"/>
  <c r="B38" i="1"/>
  <c r="E37" i="1"/>
  <c r="D37" i="1"/>
  <c r="C37" i="1"/>
  <c r="B37" i="1"/>
  <c r="E36" i="1"/>
  <c r="D36" i="1"/>
  <c r="C36" i="1"/>
  <c r="B36" i="1"/>
  <c r="E35" i="1"/>
  <c r="D35" i="1"/>
  <c r="C35" i="1"/>
  <c r="B35" i="1"/>
  <c r="E34" i="1"/>
  <c r="D34" i="1"/>
  <c r="C34" i="1"/>
  <c r="B34" i="1"/>
  <c r="E33" i="1"/>
  <c r="D33" i="1"/>
  <c r="C33" i="1"/>
  <c r="B33" i="1"/>
  <c r="E32" i="1"/>
  <c r="D32" i="1"/>
  <c r="C32" i="1"/>
  <c r="B32" i="1"/>
  <c r="E31" i="1"/>
  <c r="D31" i="1"/>
  <c r="C31" i="1"/>
  <c r="B31" i="1"/>
  <c r="E30" i="1"/>
  <c r="D30" i="1"/>
  <c r="C30" i="1"/>
  <c r="B30" i="1"/>
  <c r="E29" i="1"/>
  <c r="D29" i="1"/>
  <c r="C29" i="1"/>
  <c r="B29" i="1"/>
  <c r="E28" i="1"/>
  <c r="D28" i="1"/>
  <c r="C28" i="1"/>
  <c r="B28" i="1"/>
  <c r="E27" i="1"/>
  <c r="D27" i="1"/>
  <c r="C27" i="1"/>
  <c r="B27" i="1"/>
  <c r="E26" i="1"/>
  <c r="D26" i="1"/>
  <c r="C26" i="1"/>
  <c r="B26" i="1"/>
  <c r="E25" i="1"/>
  <c r="D25" i="1"/>
  <c r="C25" i="1"/>
  <c r="B25" i="1"/>
  <c r="E24" i="1"/>
  <c r="D24" i="1"/>
  <c r="C24" i="1"/>
  <c r="B24" i="1"/>
  <c r="E23" i="1"/>
  <c r="D23" i="1"/>
  <c r="C23" i="1"/>
  <c r="B23" i="1"/>
  <c r="E22" i="1"/>
  <c r="D22" i="1"/>
  <c r="C22" i="1"/>
  <c r="B22" i="1"/>
  <c r="E21" i="1"/>
  <c r="D21" i="1"/>
  <c r="C21" i="1"/>
  <c r="B21" i="1"/>
  <c r="E20" i="1"/>
  <c r="D20" i="1"/>
  <c r="C20" i="1"/>
  <c r="B20" i="1"/>
  <c r="E19" i="1"/>
  <c r="D19" i="1"/>
  <c r="C19" i="1"/>
  <c r="B19" i="1"/>
  <c r="E18" i="1"/>
  <c r="D18" i="1"/>
  <c r="C18" i="1"/>
  <c r="B18" i="1"/>
  <c r="E17" i="1"/>
  <c r="D17" i="1"/>
  <c r="C17" i="1"/>
  <c r="B17" i="1"/>
  <c r="E16" i="1"/>
  <c r="D16" i="1"/>
  <c r="C16" i="1"/>
  <c r="B16" i="1"/>
  <c r="E15" i="1"/>
  <c r="D15" i="1"/>
  <c r="C15" i="1"/>
  <c r="B15" i="1"/>
  <c r="E14" i="1"/>
  <c r="D14" i="1"/>
  <c r="C14" i="1"/>
  <c r="B14" i="1"/>
  <c r="E13" i="1"/>
  <c r="D13" i="1"/>
  <c r="C13" i="1"/>
  <c r="B13" i="1"/>
  <c r="E12" i="1"/>
  <c r="D12" i="1"/>
  <c r="C12" i="1"/>
  <c r="B12" i="1"/>
  <c r="E11" i="1"/>
  <c r="D11" i="1"/>
  <c r="C11" i="1"/>
  <c r="B11" i="1"/>
  <c r="E10" i="1"/>
  <c r="D10" i="1"/>
  <c r="C10" i="1"/>
  <c r="B10" i="1"/>
  <c r="E9" i="1"/>
  <c r="D9" i="1"/>
  <c r="C9" i="1"/>
  <c r="B9" i="1"/>
  <c r="E8" i="1"/>
  <c r="D8" i="1"/>
  <c r="C8" i="1"/>
  <c r="B8" i="1"/>
  <c r="E7" i="1"/>
  <c r="D7" i="1"/>
  <c r="C7" i="1"/>
  <c r="B7" i="1"/>
  <c r="E6" i="1"/>
  <c r="D6" i="1"/>
  <c r="C6" i="1"/>
  <c r="B6" i="1"/>
  <c r="E5" i="1"/>
  <c r="D5" i="1"/>
  <c r="C5" i="1"/>
  <c r="B5" i="1"/>
  <c r="A4" i="1"/>
  <c r="D4" i="1" s="1"/>
  <c r="AH147" i="2" l="1"/>
  <c r="AI147" i="2" s="1"/>
  <c r="AH154" i="2"/>
  <c r="AI154" i="2" s="1"/>
  <c r="AH54" i="2"/>
  <c r="AI54" i="2" s="1"/>
  <c r="AI140" i="2"/>
  <c r="AH14" i="2"/>
  <c r="AI14" i="2" s="1"/>
  <c r="AH22" i="2"/>
  <c r="AI22" i="2" s="1"/>
  <c r="AH61" i="2"/>
  <c r="AI61" i="2" s="1"/>
  <c r="AH69" i="2"/>
  <c r="AI69" i="2" s="1"/>
  <c r="AH168" i="2"/>
  <c r="AI168" i="2" s="1"/>
  <c r="AI97" i="2"/>
  <c r="AH161" i="2"/>
  <c r="AI161" i="2" s="1"/>
  <c r="AH83" i="2"/>
  <c r="AI83" i="2" s="1"/>
  <c r="AH84" i="2"/>
  <c r="AI84" i="2" s="1"/>
  <c r="AI82" i="2"/>
  <c r="AI95" i="2"/>
  <c r="AH141" i="2"/>
  <c r="AI141" i="2" s="1"/>
  <c r="AH40" i="2"/>
  <c r="AI40" i="2" s="1"/>
  <c r="AI96" i="2"/>
  <c r="AH32" i="2"/>
  <c r="AI32" i="2" s="1"/>
  <c r="AI130" i="2"/>
  <c r="AI123" i="2"/>
  <c r="AH120" i="2"/>
  <c r="AI120" i="2" s="1"/>
  <c r="AH94" i="2"/>
  <c r="AI94" i="2" s="1"/>
  <c r="AH150" i="2"/>
  <c r="AI150" i="2" s="1"/>
  <c r="Z30" i="2"/>
  <c r="AH143" i="2"/>
  <c r="AI143" i="2" s="1"/>
  <c r="AH27" i="2"/>
  <c r="AI27" i="2" s="1"/>
  <c r="AH10" i="2"/>
  <c r="AI10" i="2" s="1"/>
  <c r="AH33" i="2"/>
  <c r="AI33" i="2" s="1"/>
  <c r="AH101" i="2"/>
  <c r="AI101" i="2" s="1"/>
  <c r="AH7" i="2"/>
  <c r="AI7" i="2" s="1"/>
  <c r="AH129" i="2"/>
  <c r="AI129" i="2" s="1"/>
  <c r="AH21" i="2"/>
  <c r="AI21" i="2" s="1"/>
  <c r="AH65" i="2"/>
  <c r="AI65" i="2" s="1"/>
  <c r="AH122" i="2"/>
  <c r="AI122" i="2" s="1"/>
  <c r="AH56" i="2"/>
  <c r="AI56" i="2" s="1"/>
  <c r="AH19" i="2"/>
  <c r="AI19" i="2" s="1"/>
  <c r="AH23" i="2"/>
  <c r="AI23" i="2" s="1"/>
  <c r="AH24" i="2"/>
  <c r="AI24" i="2" s="1"/>
  <c r="Z18" i="2"/>
  <c r="Z46" i="2"/>
  <c r="Z96" i="2"/>
  <c r="Z5" i="2"/>
  <c r="AH37" i="2"/>
  <c r="AI37" i="2" s="1"/>
  <c r="Z60" i="2"/>
  <c r="AH80" i="2"/>
  <c r="AI80" i="2" s="1"/>
  <c r="AH66" i="2"/>
  <c r="AI66" i="2" s="1"/>
  <c r="AH2" i="2"/>
  <c r="AI2" i="2" s="1"/>
  <c r="AH93" i="2"/>
  <c r="AI93" i="2" s="1"/>
  <c r="AH20" i="2"/>
  <c r="AI20" i="2" s="1"/>
  <c r="AH17" i="2"/>
  <c r="AI17" i="2" s="1"/>
  <c r="Z95" i="2"/>
  <c r="AH115" i="2"/>
  <c r="AI115" i="2" s="1"/>
  <c r="AH79" i="2"/>
  <c r="AI79" i="2" s="1"/>
  <c r="AH5" i="2"/>
  <c r="AI5" i="2" s="1"/>
  <c r="AH9" i="2"/>
  <c r="AI9" i="2" s="1"/>
  <c r="AH13" i="2"/>
  <c r="AI13" i="2" s="1"/>
  <c r="AH16" i="2"/>
  <c r="AI16" i="2" s="1"/>
  <c r="Z62" i="2"/>
  <c r="Y147" i="2"/>
  <c r="Z147" i="2" s="1"/>
  <c r="Z161" i="2"/>
  <c r="Y161" i="2"/>
  <c r="AI6" i="2"/>
  <c r="Y16" i="2"/>
  <c r="Z16" i="2" s="1"/>
  <c r="Y18" i="2"/>
  <c r="Z20" i="2"/>
  <c r="AH29" i="2"/>
  <c r="AI29" i="2" s="1"/>
  <c r="AH31" i="2"/>
  <c r="AI31" i="2" s="1"/>
  <c r="AH35" i="2"/>
  <c r="AI35" i="2" s="1"/>
  <c r="AH39" i="2"/>
  <c r="AI39" i="2" s="1"/>
  <c r="AI41" i="2"/>
  <c r="AH43" i="2"/>
  <c r="AI43" i="2" s="1"/>
  <c r="AH45" i="2"/>
  <c r="AI45" i="2" s="1"/>
  <c r="AH51" i="2"/>
  <c r="AI51" i="2" s="1"/>
  <c r="Y62" i="2"/>
  <c r="Z66" i="2"/>
  <c r="AH72" i="2"/>
  <c r="AI72" i="2" s="1"/>
  <c r="AH106" i="2"/>
  <c r="AI106" i="2" s="1"/>
  <c r="AH111" i="2"/>
  <c r="AI111" i="2" s="1"/>
  <c r="AI116" i="2"/>
  <c r="Y119" i="2"/>
  <c r="Z119" i="2" s="1"/>
  <c r="AH126" i="2"/>
  <c r="AI126" i="2" s="1"/>
  <c r="Y129" i="2"/>
  <c r="Z129" i="2" s="1"/>
  <c r="AI131" i="2"/>
  <c r="AH136" i="2"/>
  <c r="AI136" i="2" s="1"/>
  <c r="AH149" i="2"/>
  <c r="AI149" i="2" s="1"/>
  <c r="AH152" i="2"/>
  <c r="AI152" i="2" s="1"/>
  <c r="Y164" i="2"/>
  <c r="Z164" i="2" s="1"/>
  <c r="AH170" i="2"/>
  <c r="AI170" i="2" s="1"/>
  <c r="Z178" i="2"/>
  <c r="AH189" i="2"/>
  <c r="AI189" i="2" s="1"/>
  <c r="AH193" i="2"/>
  <c r="AI193" i="2" s="1"/>
  <c r="AH197" i="2"/>
  <c r="AI197" i="2" s="1"/>
  <c r="Y56" i="2"/>
  <c r="Z56" i="2" s="1"/>
  <c r="Y60" i="2"/>
  <c r="AI68" i="2"/>
  <c r="Y75" i="2"/>
  <c r="Z75" i="2" s="1"/>
  <c r="AI81" i="2"/>
  <c r="Y88" i="2"/>
  <c r="Z88" i="2" s="1"/>
  <c r="AH92" i="2"/>
  <c r="AI92" i="2" s="1"/>
  <c r="Z97" i="2"/>
  <c r="Y109" i="2"/>
  <c r="Z109" i="2" s="1"/>
  <c r="AH121" i="2"/>
  <c r="AI121" i="2" s="1"/>
  <c r="AH139" i="2"/>
  <c r="AI139" i="2" s="1"/>
  <c r="AI144" i="2"/>
  <c r="AI155" i="2"/>
  <c r="AH167" i="2"/>
  <c r="AI167" i="2" s="1"/>
  <c r="Z42" i="2"/>
  <c r="Z48" i="2"/>
  <c r="AH77" i="2"/>
  <c r="AI77" i="2" s="1"/>
  <c r="Y84" i="2"/>
  <c r="Z84" i="2" s="1"/>
  <c r="AI90" i="2"/>
  <c r="AH134" i="2"/>
  <c r="AI134" i="2" s="1"/>
  <c r="Y150" i="2"/>
  <c r="Z150" i="2" s="1"/>
  <c r="AI158" i="2"/>
  <c r="Y171" i="2"/>
  <c r="Z171" i="2" s="1"/>
  <c r="Z182" i="2"/>
  <c r="Z3" i="2"/>
  <c r="Y5" i="2"/>
  <c r="Y7" i="2"/>
  <c r="Z7" i="2" s="1"/>
  <c r="AI12" i="2"/>
  <c r="AH18" i="2"/>
  <c r="AI18" i="2" s="1"/>
  <c r="Y42" i="2"/>
  <c r="Y46" i="2"/>
  <c r="Y48" i="2"/>
  <c r="Z52" i="2"/>
  <c r="AI62" i="2"/>
  <c r="AH64" i="2"/>
  <c r="AI64" i="2" s="1"/>
  <c r="Z73" i="2"/>
  <c r="Z102" i="2"/>
  <c r="AH104" i="2"/>
  <c r="AI104" i="2" s="1"/>
  <c r="AI109" i="2"/>
  <c r="Y112" i="2"/>
  <c r="Z112" i="2" s="1"/>
  <c r="AH119" i="2"/>
  <c r="AI119" i="2" s="1"/>
  <c r="Y122" i="2"/>
  <c r="Z122" i="2" s="1"/>
  <c r="AI124" i="2"/>
  <c r="Z140" i="2"/>
  <c r="AH182" i="2"/>
  <c r="AI182" i="2" s="1"/>
  <c r="AH186" i="2"/>
  <c r="AI186" i="2" s="1"/>
  <c r="AH190" i="2"/>
  <c r="AI190" i="2" s="1"/>
  <c r="AH194" i="2"/>
  <c r="AI194" i="2" s="1"/>
  <c r="AH198" i="2"/>
  <c r="AI198" i="2" s="1"/>
  <c r="Y30" i="2"/>
  <c r="Y32" i="2"/>
  <c r="Z32" i="2" s="1"/>
  <c r="Z34" i="2"/>
  <c r="Y40" i="2"/>
  <c r="Z40" i="2" s="1"/>
  <c r="AH60" i="2"/>
  <c r="AI60" i="2" s="1"/>
  <c r="Y69" i="2"/>
  <c r="Z69" i="2" s="1"/>
  <c r="AI75" i="2"/>
  <c r="Y82" i="2"/>
  <c r="Z82" i="2" s="1"/>
  <c r="AI88" i="2"/>
  <c r="Z91" i="2"/>
  <c r="Y95" i="2"/>
  <c r="Y102" i="2"/>
  <c r="AH114" i="2"/>
  <c r="AI114" i="2" s="1"/>
  <c r="Y140" i="2"/>
  <c r="C4" i="1"/>
  <c r="Z105" i="2"/>
  <c r="AH127" i="2"/>
  <c r="AI127" i="2" s="1"/>
  <c r="AH132" i="2"/>
  <c r="AI132" i="2" s="1"/>
  <c r="AI137" i="2"/>
  <c r="AH142" i="2"/>
  <c r="AI142" i="2" s="1"/>
  <c r="AH153" i="2"/>
  <c r="AI153" i="2" s="1"/>
  <c r="Z175" i="2"/>
  <c r="B4" i="1"/>
  <c r="Z13" i="2"/>
  <c r="AH3" i="2"/>
  <c r="AI3" i="2" s="1"/>
  <c r="Y13" i="2"/>
  <c r="AH26" i="2"/>
  <c r="AI26" i="2" s="1"/>
  <c r="AH28" i="2"/>
  <c r="AI28" i="2" s="1"/>
  <c r="AH42" i="2"/>
  <c r="AI42" i="2" s="1"/>
  <c r="AH46" i="2"/>
  <c r="AI46" i="2" s="1"/>
  <c r="AI48" i="2"/>
  <c r="AH50" i="2"/>
  <c r="AI50" i="2" s="1"/>
  <c r="AH52" i="2"/>
  <c r="AI52" i="2" s="1"/>
  <c r="AH58" i="2"/>
  <c r="AI58" i="2" s="1"/>
  <c r="Y63" i="2"/>
  <c r="Z63" i="2" s="1"/>
  <c r="Y67" i="2"/>
  <c r="Z67" i="2" s="1"/>
  <c r="AH71" i="2"/>
  <c r="AI71" i="2" s="1"/>
  <c r="AH73" i="2"/>
  <c r="AI73" i="2" s="1"/>
  <c r="Z76" i="2"/>
  <c r="Z80" i="2"/>
  <c r="AH86" i="2"/>
  <c r="AI86" i="2" s="1"/>
  <c r="AI102" i="2"/>
  <c r="Y105" i="2"/>
  <c r="AI107" i="2"/>
  <c r="AH112" i="2"/>
  <c r="AI112" i="2" s="1"/>
  <c r="Y115" i="2"/>
  <c r="Z115" i="2" s="1"/>
  <c r="AI117" i="2"/>
  <c r="Y130" i="2"/>
  <c r="Z130" i="2" s="1"/>
  <c r="AH145" i="2"/>
  <c r="AI145" i="2" s="1"/>
  <c r="AH159" i="2"/>
  <c r="AI159" i="2" s="1"/>
  <c r="AH162" i="2"/>
  <c r="AI162" i="2" s="1"/>
  <c r="AH175" i="2"/>
  <c r="AI175" i="2" s="1"/>
  <c r="AH179" i="2"/>
  <c r="AI179" i="2" s="1"/>
  <c r="AH183" i="2"/>
  <c r="AI183" i="2" s="1"/>
  <c r="AH187" i="2"/>
  <c r="AI187" i="2" s="1"/>
  <c r="AH191" i="2"/>
  <c r="AI191" i="2" s="1"/>
  <c r="AH199" i="2"/>
  <c r="AI199" i="2" s="1"/>
  <c r="Z98" i="2"/>
  <c r="Z133" i="2"/>
  <c r="Y143" i="2"/>
  <c r="Z143" i="2" s="1"/>
  <c r="Y154" i="2"/>
  <c r="Z154" i="2" s="1"/>
  <c r="AH156" i="2"/>
  <c r="AI156" i="2" s="1"/>
  <c r="AI165" i="2"/>
  <c r="Z55" i="2"/>
  <c r="AH11" i="2"/>
  <c r="AI11" i="2" s="1"/>
  <c r="Y2" i="2"/>
  <c r="Z2" i="2" s="1"/>
  <c r="Y23" i="2"/>
  <c r="Z23" i="2" s="1"/>
  <c r="Y25" i="2"/>
  <c r="Z25" i="2" s="1"/>
  <c r="Z27" i="2"/>
  <c r="AI36" i="2"/>
  <c r="Y53" i="2"/>
  <c r="Z53" i="2" s="1"/>
  <c r="Y55" i="2"/>
  <c r="Z59" i="2"/>
  <c r="Z61" i="2"/>
  <c r="AH63" i="2"/>
  <c r="AI63" i="2" s="1"/>
  <c r="AI67" i="2"/>
  <c r="Y74" i="2"/>
  <c r="Z74" i="2" s="1"/>
  <c r="AH78" i="2"/>
  <c r="AI78" i="2" s="1"/>
  <c r="Z87" i="2"/>
  <c r="AI91" i="2"/>
  <c r="AH105" i="2"/>
  <c r="AI105" i="2" s="1"/>
  <c r="Y108" i="2"/>
  <c r="Z108" i="2" s="1"/>
  <c r="AI110" i="2"/>
  <c r="AI151" i="2"/>
  <c r="Y157" i="2"/>
  <c r="Z157" i="2" s="1"/>
  <c r="AI172" i="2"/>
  <c r="AH176" i="2"/>
  <c r="AI176" i="2" s="1"/>
  <c r="AH180" i="2"/>
  <c r="AI180" i="2" s="1"/>
  <c r="AH184" i="2"/>
  <c r="AI184" i="2" s="1"/>
  <c r="AH200" i="2"/>
  <c r="AI200" i="2" s="1"/>
  <c r="AI30" i="2"/>
  <c r="AI34" i="2"/>
  <c r="AH38" i="2"/>
  <c r="AI38" i="2" s="1"/>
  <c r="Y98" i="2"/>
  <c r="Z6" i="2"/>
  <c r="Y27" i="2"/>
  <c r="Z35" i="2"/>
  <c r="Z41" i="2"/>
  <c r="Y70" i="2"/>
  <c r="Z70" i="2" s="1"/>
  <c r="AI76" i="2"/>
  <c r="Y83" i="2"/>
  <c r="Z83" i="2" s="1"/>
  <c r="AI89" i="2"/>
  <c r="Y96" i="2"/>
  <c r="AI98" i="2"/>
  <c r="AH100" i="2"/>
  <c r="AI100" i="2" s="1"/>
  <c r="Z126" i="2"/>
  <c r="AI133" i="2"/>
  <c r="AH138" i="2"/>
  <c r="AI138" i="2" s="1"/>
  <c r="AH166" i="2"/>
  <c r="AI166" i="2" s="1"/>
  <c r="AH169" i="2"/>
  <c r="AI169" i="2" s="1"/>
  <c r="Z196" i="2"/>
  <c r="AH44" i="2"/>
  <c r="AI44" i="2" s="1"/>
  <c r="Z49" i="2"/>
  <c r="AH125" i="2"/>
  <c r="AI125" i="2" s="1"/>
  <c r="AH118" i="2"/>
  <c r="AI118" i="2" s="1"/>
  <c r="Y136" i="2"/>
  <c r="Z136" i="2" s="1"/>
  <c r="AH146" i="2"/>
  <c r="AI146" i="2" s="1"/>
  <c r="AH157" i="2"/>
  <c r="AI157" i="2" s="1"/>
  <c r="AH160" i="2"/>
  <c r="AI160" i="2" s="1"/>
  <c r="AI163" i="2"/>
  <c r="AH196" i="2"/>
  <c r="AI196" i="2" s="1"/>
  <c r="Z123" i="2"/>
  <c r="AI135" i="2"/>
  <c r="Z10" i="2"/>
  <c r="AI55" i="2"/>
  <c r="AH59" i="2"/>
  <c r="AI59" i="2" s="1"/>
  <c r="AI74" i="2"/>
  <c r="Z77" i="2"/>
  <c r="AH87" i="2"/>
  <c r="AI87" i="2" s="1"/>
  <c r="Z90" i="2"/>
  <c r="Z94" i="2"/>
  <c r="Y101" i="2"/>
  <c r="Z101" i="2" s="1"/>
  <c r="AI103" i="2"/>
  <c r="AH108" i="2"/>
  <c r="AI108" i="2" s="1"/>
  <c r="Y116" i="2"/>
  <c r="Z116" i="2" s="1"/>
  <c r="AH128" i="2"/>
  <c r="AI128" i="2" s="1"/>
  <c r="Z144" i="2"/>
  <c r="AH173" i="2"/>
  <c r="AI173" i="2" s="1"/>
  <c r="AH177" i="2"/>
  <c r="AI177" i="2" s="1"/>
  <c r="AH201" i="2"/>
  <c r="AI201" i="2" s="1"/>
  <c r="Y200" i="2"/>
  <c r="Z200" i="2" s="1"/>
  <c r="AH174" i="2"/>
  <c r="AI174" i="2" s="1"/>
  <c r="Y178" i="2"/>
  <c r="AH181" i="2"/>
  <c r="AI181" i="2" s="1"/>
  <c r="Y185" i="2"/>
  <c r="Z185" i="2" s="1"/>
  <c r="AH188" i="2"/>
  <c r="AI188" i="2" s="1"/>
  <c r="Y192" i="2"/>
  <c r="Z192" i="2" s="1"/>
  <c r="AH195" i="2"/>
  <c r="AI195" i="2" s="1"/>
  <c r="Y199" i="2"/>
  <c r="Z199" i="2" s="1"/>
  <c r="Y201" i="2"/>
  <c r="Z201" i="2" s="1"/>
  <c r="AH164" i="2"/>
  <c r="AI164" i="2" s="1"/>
  <c r="Y168" i="2"/>
  <c r="Z168" i="2" s="1"/>
  <c r="AH171" i="2"/>
  <c r="AI171" i="2" s="1"/>
  <c r="Y175" i="2"/>
  <c r="AH178" i="2"/>
  <c r="AI178" i="2" s="1"/>
  <c r="Y182" i="2"/>
  <c r="AH185" i="2"/>
  <c r="AI185" i="2" s="1"/>
  <c r="Y189" i="2"/>
  <c r="Z189" i="2" s="1"/>
  <c r="AH192" i="2"/>
  <c r="AI192" i="2" s="1"/>
  <c r="Y196" i="2"/>
  <c r="Y177" i="2"/>
  <c r="Z177" i="2" s="1"/>
  <c r="Y184" i="2"/>
  <c r="Z184" i="2" s="1"/>
  <c r="Y191" i="2"/>
  <c r="Z191" i="2" s="1"/>
  <c r="Y198" i="2"/>
  <c r="Z198" i="2" s="1"/>
  <c r="E4" i="1" l="1"/>
</calcChain>
</file>

<file path=xl/sharedStrings.xml><?xml version="1.0" encoding="utf-8"?>
<sst xmlns="http://schemas.openxmlformats.org/spreadsheetml/2006/main" count="1293" uniqueCount="1213">
  <si>
    <t>COMPLETENESS DASHBOARD</t>
  </si>
  <si>
    <t>Adres</t>
  </si>
  <si>
    <t>Basis?</t>
  </si>
  <si>
    <t>GWE?</t>
  </si>
  <si>
    <t>Schoonmaak?</t>
  </si>
  <si>
    <t>STATUS</t>
  </si>
  <si>
    <t>Type</t>
  </si>
  <si>
    <t>Klantnaam</t>
  </si>
  <si>
    <t>Object ID</t>
  </si>
  <si>
    <t>Check-in</t>
  </si>
  <si>
    <t>Check-out</t>
  </si>
  <si>
    <t>Borg (€)</t>
  </si>
  <si>
    <t>GWE Beheer</t>
  </si>
  <si>
    <t>Meterbeheerder</t>
  </si>
  <si>
    <t>Leverancier</t>
  </si>
  <si>
    <t>Contractnr</t>
  </si>
  <si>
    <t>Extra Voorschot (€)</t>
  </si>
  <si>
    <t>Extra Voor. Omschr.</t>
  </si>
  <si>
    <t>Elek Begin</t>
  </si>
  <si>
    <t>Elek Eind</t>
  </si>
  <si>
    <t>Gas Begin</t>
  </si>
  <si>
    <t>Gas Eind</t>
  </si>
  <si>
    <t>Water Begin</t>
  </si>
  <si>
    <t>Water Eind</t>
  </si>
  <si>
    <t>Schoon Maak Pakket</t>
  </si>
  <si>
    <t>Schoon Uren</t>
  </si>
  <si>
    <t>Uurtarief (€)</t>
  </si>
  <si>
    <t>Totaal Excl (€)</t>
  </si>
  <si>
    <t>BTW %</t>
  </si>
  <si>
    <t>BTW Bedrag (€)</t>
  </si>
  <si>
    <t>Totaal Incl (€)</t>
  </si>
  <si>
    <t>Kosten Type</t>
  </si>
  <si>
    <t>Eenheid</t>
  </si>
  <si>
    <t>Beschrijving</t>
  </si>
  <si>
    <t>Aantal</t>
  </si>
  <si>
    <t>Prijs/Stuk (€)</t>
  </si>
  <si>
    <t>Address</t>
  </si>
  <si>
    <t>Clients</t>
  </si>
  <si>
    <t>1e Middellandstraat 104A</t>
  </si>
  <si>
    <t>0388</t>
  </si>
  <si>
    <t>'t Werkt B.V.</t>
  </si>
  <si>
    <t>2e Maasbosstraat 2 a</t>
  </si>
  <si>
    <t>0148</t>
  </si>
  <si>
    <t>24/7 drive</t>
  </si>
  <si>
    <t>2e Maasbosstraat 2 b</t>
  </si>
  <si>
    <t>0149</t>
  </si>
  <si>
    <t>4 Homes B.V.</t>
  </si>
  <si>
    <t>2e Maasbosstraat 2 c</t>
  </si>
  <si>
    <t>0150</t>
  </si>
  <si>
    <t>2e van Leydengaelstraat 6</t>
  </si>
  <si>
    <t>0022</t>
  </si>
  <si>
    <t>A. Blaszcak</t>
  </si>
  <si>
    <t>Abelenlaan 143</t>
  </si>
  <si>
    <t>0014</t>
  </si>
  <si>
    <t>A. Brouwers en S. Brouwers- van Weert</t>
  </si>
  <si>
    <t>Acacia 2</t>
  </si>
  <si>
    <t>0003</t>
  </si>
  <si>
    <t>A. Dzaka</t>
  </si>
  <si>
    <t>Acacialaan 9</t>
  </si>
  <si>
    <t>0223</t>
  </si>
  <si>
    <t>A. Ghali</t>
  </si>
  <si>
    <t>Achterdijk 47A</t>
  </si>
  <si>
    <t>0190</t>
  </si>
  <si>
    <t>A. Verschueren</t>
  </si>
  <si>
    <t>Adriaan Baasstraat 34</t>
  </si>
  <si>
    <t>0007</t>
  </si>
  <si>
    <t>A.H.S. Willemsen</t>
  </si>
  <si>
    <t>Akkerweg 41 [010]</t>
  </si>
  <si>
    <t>0341</t>
  </si>
  <si>
    <t>A.I.G. Lukkien</t>
  </si>
  <si>
    <t>Akkerweg 41 [011]</t>
  </si>
  <si>
    <t>0372</t>
  </si>
  <si>
    <t>A.P.W. Koedooder</t>
  </si>
  <si>
    <t>Akkerweg 41 [014]</t>
  </si>
  <si>
    <t>0293</t>
  </si>
  <si>
    <t>A.W.N. Alkemade</t>
  </si>
  <si>
    <t>Akkerweg 41 [015]</t>
  </si>
  <si>
    <t>0294</t>
  </si>
  <si>
    <t>A.Y. Nicolai</t>
  </si>
  <si>
    <t>Akkerweg 41 [016]</t>
  </si>
  <si>
    <t>0342</t>
  </si>
  <si>
    <t>ABC Bedrijfsservice B.V</t>
  </si>
  <si>
    <t>Akkerweg 41 [017]</t>
  </si>
  <si>
    <t>0373</t>
  </si>
  <si>
    <t>AKRION ADMINISTRATION</t>
  </si>
  <si>
    <t>Akkerweg 41 [018]</t>
  </si>
  <si>
    <t>0295</t>
  </si>
  <si>
    <t>AKT Autoschade</t>
  </si>
  <si>
    <t>Akkerweg 41 [019]</t>
  </si>
  <si>
    <t>0343</t>
  </si>
  <si>
    <t>Adecco Group</t>
  </si>
  <si>
    <t>Akkerweg 41 [020]</t>
  </si>
  <si>
    <t>0383</t>
  </si>
  <si>
    <t>Aelbers Flexibele Personeels Diensten B.V.</t>
  </si>
  <si>
    <t>Akkerweg 41 [022]</t>
  </si>
  <si>
    <t>0296</t>
  </si>
  <si>
    <t>Alis Vastgoed B.V.</t>
  </si>
  <si>
    <t>Akkerweg 41 [026]</t>
  </si>
  <si>
    <t>0297</t>
  </si>
  <si>
    <t>Alpha Workforce Aps</t>
  </si>
  <si>
    <t>Akkerweg 41 [031]</t>
  </si>
  <si>
    <t>0298</t>
  </si>
  <si>
    <t>AmDor Projecten B.V.</t>
  </si>
  <si>
    <t>Akkerweg 41 [035]</t>
  </si>
  <si>
    <t>0350</t>
  </si>
  <si>
    <t>Autobedrijf Voorne</t>
  </si>
  <si>
    <t>Akkerweg 41 [036]</t>
  </si>
  <si>
    <t>0356</t>
  </si>
  <si>
    <t>Autobedrijf W. Bronder</t>
  </si>
  <si>
    <t>Akkerweg 41 [037]</t>
  </si>
  <si>
    <t>0299</t>
  </si>
  <si>
    <t>Autodaxx B.V.</t>
  </si>
  <si>
    <t>Akkerweg 41 [038]</t>
  </si>
  <si>
    <t>0357</t>
  </si>
  <si>
    <t>B. Bosch</t>
  </si>
  <si>
    <t>Akkerweg 41 [040]</t>
  </si>
  <si>
    <t>0300</t>
  </si>
  <si>
    <t>B. van Abeelen</t>
  </si>
  <si>
    <t>Akkerweg 41 [041]</t>
  </si>
  <si>
    <t>0301</t>
  </si>
  <si>
    <t>BDR Uitzendbureau B.V.</t>
  </si>
  <si>
    <t>Akkerweg 41 [042]</t>
  </si>
  <si>
    <t>0302</t>
  </si>
  <si>
    <t>BJ Bakker</t>
  </si>
  <si>
    <t>Akkerweg 41 [055]</t>
  </si>
  <si>
    <t>0303</t>
  </si>
  <si>
    <t>Bator V.O.F.</t>
  </si>
  <si>
    <t>Akkerweg 41 [056]</t>
  </si>
  <si>
    <t>0304</t>
  </si>
  <si>
    <t>Best@Work B.V.</t>
  </si>
  <si>
    <t>Akkerweg 41 [057]</t>
  </si>
  <si>
    <t>0305</t>
  </si>
  <si>
    <t>Betterway BV</t>
  </si>
  <si>
    <t>Akkerweg 41 [058]</t>
  </si>
  <si>
    <t>0384</t>
  </si>
  <si>
    <t>Bosch B Dhr (Scheepjesbrug 814 Meerkerk)</t>
  </si>
  <si>
    <t>Akkerweg 41 [059]</t>
  </si>
  <si>
    <t>0306</t>
  </si>
  <si>
    <t>Bouius</t>
  </si>
  <si>
    <t>Akkerweg 41 [068]</t>
  </si>
  <si>
    <t>0326</t>
  </si>
  <si>
    <t>Bouw Service International B.V.</t>
  </si>
  <si>
    <t>Akkerweg 41 [074]</t>
  </si>
  <si>
    <t>0379</t>
  </si>
  <si>
    <t>Bright Home Rentals B.V.</t>
  </si>
  <si>
    <t>Akkerweg 41 [075]</t>
  </si>
  <si>
    <t>0307</t>
  </si>
  <si>
    <t>Business Housing</t>
  </si>
  <si>
    <t>Allard Piersonlaan 142</t>
  </si>
  <si>
    <t>0002</t>
  </si>
  <si>
    <t>Buurman Vastgoed E B.V.</t>
  </si>
  <si>
    <t>Amberberg 14</t>
  </si>
  <si>
    <t>0201</t>
  </si>
  <si>
    <t>Bw-engineering</t>
  </si>
  <si>
    <t>Amperelaan 23</t>
  </si>
  <si>
    <t>0043</t>
  </si>
  <si>
    <t>C-Flex B.V.</t>
  </si>
  <si>
    <t>Ampèrestraat 36A</t>
  </si>
  <si>
    <t>0135</t>
  </si>
  <si>
    <t>C. van Winsen</t>
  </si>
  <si>
    <t>Archimedesstraat 6 B</t>
  </si>
  <si>
    <t>0353</t>
  </si>
  <si>
    <t>CASS Construction and Steel Structures Sp. z o.o</t>
  </si>
  <si>
    <t>Arkelse Onderweg 24a</t>
  </si>
  <si>
    <t>0008</t>
  </si>
  <si>
    <t>CB Construction UAB</t>
  </si>
  <si>
    <t>Baanhoek 137</t>
  </si>
  <si>
    <t>0367</t>
  </si>
  <si>
    <t>CB-Homes B.V.</t>
  </si>
  <si>
    <t>Baanhoek 139</t>
  </si>
  <si>
    <t>0055</t>
  </si>
  <si>
    <t>Central Job Facilities B.V.</t>
  </si>
  <si>
    <t>Baarlelaan 27</t>
  </si>
  <si>
    <t>0012</t>
  </si>
  <si>
    <t>City Estate B.V.</t>
  </si>
  <si>
    <t>Baarsveen 197</t>
  </si>
  <si>
    <t>0013</t>
  </si>
  <si>
    <t>Crown Uitzendgroep</t>
  </si>
  <si>
    <t>Beatrixstraat 3</t>
  </si>
  <si>
    <t>0040</t>
  </si>
  <si>
    <t>D Blommers</t>
  </si>
  <si>
    <t>Beeklaan 294</t>
  </si>
  <si>
    <t>0152</t>
  </si>
  <si>
    <t>D Kleijweg</t>
  </si>
  <si>
    <t>Besterdring 6</t>
  </si>
  <si>
    <t>0060</t>
  </si>
  <si>
    <t>D. Walma</t>
  </si>
  <si>
    <t>Bettingeslag 10</t>
  </si>
  <si>
    <t>0322</t>
  </si>
  <si>
    <t>DB Beheer B.V.</t>
  </si>
  <si>
    <t>Beukenlaan 53</t>
  </si>
  <si>
    <t>0346</t>
  </si>
  <si>
    <t>DB woonruimtebemiddeling</t>
  </si>
  <si>
    <t>Bisschopstraat 68</t>
  </si>
  <si>
    <t>0047</t>
  </si>
  <si>
    <t>DIT en Larex Vakpersoneel B.V.</t>
  </si>
  <si>
    <t>Bliek 41</t>
  </si>
  <si>
    <t>0048</t>
  </si>
  <si>
    <t>DNACC B.V. / Rolbakkie</t>
  </si>
  <si>
    <t>Bornerbroeksestraat 129A</t>
  </si>
  <si>
    <t>0049</t>
  </si>
  <si>
    <t>DS People B.V.</t>
  </si>
  <si>
    <t>Bovendijk 59</t>
  </si>
  <si>
    <t>0280</t>
  </si>
  <si>
    <t>De Borgmeren B.V.</t>
  </si>
  <si>
    <t>Bovendijk 61</t>
  </si>
  <si>
    <t>0281</t>
  </si>
  <si>
    <t>De Pagter Vastgoed B.V.</t>
  </si>
  <si>
    <t>Broekweg 25</t>
  </si>
  <si>
    <t>0004</t>
  </si>
  <si>
    <t>De Uitlener B.V.</t>
  </si>
  <si>
    <t>Broersveld 150A</t>
  </si>
  <si>
    <t>0155</t>
  </si>
  <si>
    <t>De Witte Brigade B.V.</t>
  </si>
  <si>
    <t>Broersvest 74 c</t>
  </si>
  <si>
    <t>0156</t>
  </si>
  <si>
    <t>Demeter BV</t>
  </si>
  <si>
    <t>Buizerdstraat 210</t>
  </si>
  <si>
    <t>0027</t>
  </si>
  <si>
    <t>Desa Construction NL BV</t>
  </si>
  <si>
    <t>Burchstraat 16A</t>
  </si>
  <si>
    <t>0097</t>
  </si>
  <si>
    <t>Detaconcept Services B.V.</t>
  </si>
  <si>
    <t>Burgemeester Cramerlaan 82</t>
  </si>
  <si>
    <t>0276</t>
  </si>
  <si>
    <t>Detaconcept Uitzendgroep B.V.</t>
  </si>
  <si>
    <t>Burgemeester Crezeelaan 76</t>
  </si>
  <si>
    <t>0275</t>
  </si>
  <si>
    <t>Dhr D. Pronk en Mw y. Pronk - Dijkhuizen</t>
  </si>
  <si>
    <t>Burgemeester Stulemeijerlaan 71</t>
  </si>
  <si>
    <t>0292</t>
  </si>
  <si>
    <t>Dhr I.B. Stefan</t>
  </si>
  <si>
    <t>Chopinstraat 33C</t>
  </si>
  <si>
    <t>0160</t>
  </si>
  <si>
    <t>Dhr. A. Dorin</t>
  </si>
  <si>
    <t xml:space="preserve">Chopinstraat 35A </t>
  </si>
  <si>
    <t>0131</t>
  </si>
  <si>
    <t>Dhr. A. Ros</t>
  </si>
  <si>
    <t>Chopinstraat 39C</t>
  </si>
  <si>
    <t>0026</t>
  </si>
  <si>
    <t>Dhr. B. Vlastuin</t>
  </si>
  <si>
    <t>Cloosterstraat 23A</t>
  </si>
  <si>
    <t>0370</t>
  </si>
  <si>
    <t>Dhr. J.L. Meerding</t>
  </si>
  <si>
    <t>Coehoorn van Scheltingaweg 12</t>
  </si>
  <si>
    <t>0051</t>
  </si>
  <si>
    <t>Dhr. J.M.R. Boringa</t>
  </si>
  <si>
    <t>Coehoorn van Scheltingaweg 66</t>
  </si>
  <si>
    <t>0052</t>
  </si>
  <si>
    <t>Dhr. M. Moeilijker</t>
  </si>
  <si>
    <t>Compierekade 15</t>
  </si>
  <si>
    <t>0345</t>
  </si>
  <si>
    <t>Dhr. R Verspui</t>
  </si>
  <si>
    <t xml:space="preserve">Coornhertstraat 95 </t>
  </si>
  <si>
    <t>0162</t>
  </si>
  <si>
    <t>Dhr. R. Bekken</t>
  </si>
  <si>
    <t xml:space="preserve">Cubalaan 25 </t>
  </si>
  <si>
    <t>0375</t>
  </si>
  <si>
    <t>Dhr. R. J. Beking</t>
  </si>
  <si>
    <t>Curacaolaan 24</t>
  </si>
  <si>
    <t>0163</t>
  </si>
  <si>
    <t>Dhr. SWJ Colpaert en Mevr. J. Michielsen</t>
  </si>
  <si>
    <t>Curacaolaan 88</t>
  </si>
  <si>
    <t>0030</t>
  </si>
  <si>
    <t>Dhr. T. Roestenberg en Mw. Roestenberg - Hustinx</t>
  </si>
  <si>
    <t xml:space="preserve">Curcumastraat 39 </t>
  </si>
  <si>
    <t>0053</t>
  </si>
  <si>
    <t>Direct Rendement B.V.</t>
  </si>
  <si>
    <t>Datheenstraat 255</t>
  </si>
  <si>
    <t>0151</t>
  </si>
  <si>
    <t>Duijndam Personeelsdiensten B.V.</t>
  </si>
  <si>
    <t>De Driesprong 17</t>
  </si>
  <si>
    <t>0165</t>
  </si>
  <si>
    <t>Dumanli</t>
  </si>
  <si>
    <t>De Gasperistraat 11</t>
  </si>
  <si>
    <t>0054</t>
  </si>
  <si>
    <t>Dunaj Projekty SRO</t>
  </si>
  <si>
    <t>De Haak, Zekkenstraat 31A</t>
  </si>
  <si>
    <t>0288</t>
  </si>
  <si>
    <t>Dutch Ink</t>
  </si>
  <si>
    <t>De Haak, Zekkenstraat 31B</t>
  </si>
  <si>
    <t>0289</t>
  </si>
  <si>
    <t>Dutch Shipyard B.V.</t>
  </si>
  <si>
    <t>De Haak, Zekkenstraat 56</t>
  </si>
  <si>
    <t>0290</t>
  </si>
  <si>
    <t>Dynalinx B.V.</t>
  </si>
  <si>
    <t>De Hooidollen 606</t>
  </si>
  <si>
    <t>0056</t>
  </si>
  <si>
    <t>E Rebel</t>
  </si>
  <si>
    <t>Deensestraat 6A2</t>
  </si>
  <si>
    <t>0153</t>
  </si>
  <si>
    <t>E.C. Koornneef</t>
  </si>
  <si>
    <t>Desiree Geeraertstraat 1 B</t>
  </si>
  <si>
    <t>0023</t>
  </si>
  <si>
    <t>E.C. Laus (Landsteinerhof 68)</t>
  </si>
  <si>
    <t>Desiree Geeraertstraat 1 C</t>
  </si>
  <si>
    <t>0024</t>
  </si>
  <si>
    <t>E.C. Laus / K. van Elk Landsteinerhof</t>
  </si>
  <si>
    <t>Deugenweerd 18</t>
  </si>
  <si>
    <t>0058</t>
  </si>
  <si>
    <t>EG Facility &amp; Services BV</t>
  </si>
  <si>
    <t>Dieptol 63</t>
  </si>
  <si>
    <t>0059</t>
  </si>
  <si>
    <t>ERGO Construction doo</t>
  </si>
  <si>
    <t>Dorpsstraat 48</t>
  </si>
  <si>
    <t>0354</t>
  </si>
  <si>
    <t>EU Facility Services</t>
  </si>
  <si>
    <t xml:space="preserve">Dorpsstraat 73 </t>
  </si>
  <si>
    <t>0066</t>
  </si>
  <si>
    <t>EWLIT Sp.Z.O.O.SP.K</t>
  </si>
  <si>
    <t>Dorpstraat 48</t>
  </si>
  <si>
    <t>0203</t>
  </si>
  <si>
    <t>Eastmen</t>
  </si>
  <si>
    <t xml:space="preserve">Dwarsweg 44 </t>
  </si>
  <si>
    <t>0061</t>
  </si>
  <si>
    <t>Eastmen Human Resources B.V.</t>
  </si>
  <si>
    <t>Eendrachtstraat 22</t>
  </si>
  <si>
    <t>0062</t>
  </si>
  <si>
    <t>Easyjob People</t>
  </si>
  <si>
    <t>Elisadonk 220</t>
  </si>
  <si>
    <t>0136</t>
  </si>
  <si>
    <t>Edy Comert BV</t>
  </si>
  <si>
    <t xml:space="preserve">Energieweg 40 </t>
  </si>
  <si>
    <t>0063</t>
  </si>
  <si>
    <t>Edy Comert SRL</t>
  </si>
  <si>
    <t>Engelsestraat 16L1</t>
  </si>
  <si>
    <t>0168</t>
  </si>
  <si>
    <t>Eemsdelta Housing B.V.</t>
  </si>
  <si>
    <t>Engelsestraat 16L3</t>
  </si>
  <si>
    <t>0095</t>
  </si>
  <si>
    <t>Eigenaren van Dieptol 63</t>
  </si>
  <si>
    <t>Enk 6</t>
  </si>
  <si>
    <t>0064</t>
  </si>
  <si>
    <t>Eizema Heerenveen Vastgoed b.v.</t>
  </si>
  <si>
    <t>Enschotsestraat 163</t>
  </si>
  <si>
    <t>0006</t>
  </si>
  <si>
    <t>Employ</t>
  </si>
  <si>
    <t xml:space="preserve">Esdoornlaan 68 </t>
  </si>
  <si>
    <t>0065</t>
  </si>
  <si>
    <t>Employ Facilitair B.V.</t>
  </si>
  <si>
    <t>F.Erensstraat 21</t>
  </si>
  <si>
    <t>0068</t>
  </si>
  <si>
    <t>Estra Logistics Systems B.V.</t>
  </si>
  <si>
    <t>Fabristraat 34A</t>
  </si>
  <si>
    <t>0093</t>
  </si>
  <si>
    <t>Euromontur Asemblies SL.</t>
  </si>
  <si>
    <t>Fabristraat 34B</t>
  </si>
  <si>
    <t>0094</t>
  </si>
  <si>
    <t>Europe-jobs B.V.</t>
  </si>
  <si>
    <t>Fenacoliuslaan 56B</t>
  </si>
  <si>
    <t>0273</t>
  </si>
  <si>
    <t>European Business Brokers</t>
  </si>
  <si>
    <t>Flankstraat 11</t>
  </si>
  <si>
    <t>0331</t>
  </si>
  <si>
    <t>F. Veurink en P. Neleman</t>
  </si>
  <si>
    <t>Franselaan 273B</t>
  </si>
  <si>
    <t>0019</t>
  </si>
  <si>
    <t>FGM Solar Renewable S.R.L.</t>
  </si>
  <si>
    <t>Franz Liszstraat 5</t>
  </si>
  <si>
    <t>0067</t>
  </si>
  <si>
    <t>FISSH B.V.</t>
  </si>
  <si>
    <t>G.A. Brederolaan 75B</t>
  </si>
  <si>
    <t>0017</t>
  </si>
  <si>
    <t>Facili Flex BV</t>
  </si>
  <si>
    <t>Gaffelaar 3</t>
  </si>
  <si>
    <t>0069</t>
  </si>
  <si>
    <t>Fam. Derwig</t>
  </si>
  <si>
    <t>Galgeweg 48-A</t>
  </si>
  <si>
    <t>0009</t>
  </si>
  <si>
    <t>Fareon Z Nederland</t>
  </si>
  <si>
    <t>Geldersestraat 91</t>
  </si>
  <si>
    <t>0109</t>
  </si>
  <si>
    <t>Fasttravel Taxi</t>
  </si>
  <si>
    <t>Geleenstraat 1</t>
  </si>
  <si>
    <t>0070</t>
  </si>
  <si>
    <t>Feel Flex B.V.</t>
  </si>
  <si>
    <t>Gerberalaan 113</t>
  </si>
  <si>
    <t>0277</t>
  </si>
  <si>
    <t>Finest Housing B.V.</t>
  </si>
  <si>
    <t>Goudestein 30</t>
  </si>
  <si>
    <t>0170</t>
  </si>
  <si>
    <t>Finishing De Luxe GmbH</t>
  </si>
  <si>
    <t>Groenelaan 30B</t>
  </si>
  <si>
    <t>0025</t>
  </si>
  <si>
    <t>Fix Personeelsdiensten</t>
  </si>
  <si>
    <t>Groeneweg 127</t>
  </si>
  <si>
    <t>0172</t>
  </si>
  <si>
    <t>Flex House Renting B.V.</t>
  </si>
  <si>
    <t xml:space="preserve">Groeneweg 71 </t>
  </si>
  <si>
    <t>0173</t>
  </si>
  <si>
    <t>Flex Pons B.V.</t>
  </si>
  <si>
    <t>Groeneweg 74</t>
  </si>
  <si>
    <t>0174</t>
  </si>
  <si>
    <t>FlexState B.V.</t>
  </si>
  <si>
    <t>H. Algraplein 25</t>
  </si>
  <si>
    <t>0071</t>
  </si>
  <si>
    <t>Flexbo B.V.</t>
  </si>
  <si>
    <t>Haagkamp 11</t>
  </si>
  <si>
    <t>0279</t>
  </si>
  <si>
    <t>Flexcraft SSC BV</t>
  </si>
  <si>
    <t>Hagastraat 8</t>
  </si>
  <si>
    <t>0175</t>
  </si>
  <si>
    <t>Flextalent4u Uitzenden B.V.</t>
  </si>
  <si>
    <t>Heemskerkstraat 19</t>
  </si>
  <si>
    <t>0072</t>
  </si>
  <si>
    <t>Flexvesting B.V.</t>
  </si>
  <si>
    <t>Hendrik Deddenstraat 26</t>
  </si>
  <si>
    <t>0073</t>
  </si>
  <si>
    <t>Flowerhill B.V.</t>
  </si>
  <si>
    <t>Hendriklaan 49</t>
  </si>
  <si>
    <t>0325</t>
  </si>
  <si>
    <t>Focuzop-eu</t>
  </si>
  <si>
    <t xml:space="preserve">Herautpad 22 </t>
  </si>
  <si>
    <t>0176</t>
  </si>
  <si>
    <t>Fryslân Homes</t>
  </si>
  <si>
    <t>Herenpad 20 A</t>
  </si>
  <si>
    <t>0133</t>
  </si>
  <si>
    <t>Furniture Lease</t>
  </si>
  <si>
    <t>Herenpad 20 B</t>
  </si>
  <si>
    <t>0134</t>
  </si>
  <si>
    <t>G.D. Dijkstra</t>
  </si>
  <si>
    <t>Hoefslag 8</t>
  </si>
  <si>
    <t>0107</t>
  </si>
  <si>
    <t>G.K. Stoel</t>
  </si>
  <si>
    <t>Hof van zeeland 2</t>
  </si>
  <si>
    <t>0334</t>
  </si>
  <si>
    <t>GAP Costruzioni S.r.l.</t>
  </si>
  <si>
    <t>Hoge Noordweg 27B</t>
  </si>
  <si>
    <t>0177</t>
  </si>
  <si>
    <t>GMC KOVI Global Metal Construction</t>
  </si>
  <si>
    <t>Hoge Noordweg 28</t>
  </si>
  <si>
    <t>0178</t>
  </si>
  <si>
    <t>GOTI Verhuur B.V.</t>
  </si>
  <si>
    <t>Hogenbanweg 331</t>
  </si>
  <si>
    <t>0031</t>
  </si>
  <si>
    <t>GSI B.V.</t>
  </si>
  <si>
    <t>Hontenissestraat 124</t>
  </si>
  <si>
    <t>0181</t>
  </si>
  <si>
    <t>Gap Costruzioni Dutch Branch</t>
  </si>
  <si>
    <t>Hoofdstraat 110</t>
  </si>
  <si>
    <t>0075</t>
  </si>
  <si>
    <t>Gastvrijaanzee.nl</t>
  </si>
  <si>
    <t>Hooizolder 6</t>
  </si>
  <si>
    <t>0078</t>
  </si>
  <si>
    <t>Gemeente Waadhoeke</t>
  </si>
  <si>
    <t>Hugo de Grootstraat 72A &amp; B</t>
  </si>
  <si>
    <t>0147</t>
  </si>
  <si>
    <t>Global Accomodation Solutions (Incassobureau)</t>
  </si>
  <si>
    <t xml:space="preserve">Hugo de Vriesstraat 54 </t>
  </si>
  <si>
    <t>0183</t>
  </si>
  <si>
    <t>Global Expatriate Services SL</t>
  </si>
  <si>
    <t>Industriestraat 9</t>
  </si>
  <si>
    <t>0391</t>
  </si>
  <si>
    <t>Gridin's Group LT</t>
  </si>
  <si>
    <t>Inundatiestraat 3</t>
  </si>
  <si>
    <t>0039</t>
  </si>
  <si>
    <t>Groene Hart Service Detachering B.V.</t>
  </si>
  <si>
    <t>Jacob van Lennepstraat 13 A</t>
  </si>
  <si>
    <t>0187</t>
  </si>
  <si>
    <t>H. Molla Farajzadeh</t>
  </si>
  <si>
    <t>Jacob van Lennepstraat 13 b</t>
  </si>
  <si>
    <t>0188</t>
  </si>
  <si>
    <t>H. van den Berg</t>
  </si>
  <si>
    <t>Jacob van Lennepstraat 34</t>
  </si>
  <si>
    <t>0189</t>
  </si>
  <si>
    <t>H.A. Samsom &amp; M.E.P. Knaap</t>
  </si>
  <si>
    <t>Jacob van offwegenlaan 26</t>
  </si>
  <si>
    <t>0032</t>
  </si>
  <si>
    <t>H.C. van Os - Remeeus</t>
  </si>
  <si>
    <t>Jan van Arkelstraat 118</t>
  </si>
  <si>
    <t>0191</t>
  </si>
  <si>
    <t>H.T.C. Facility Services B.V.</t>
  </si>
  <si>
    <t>Jasmijnring 37</t>
  </si>
  <si>
    <t>0087</t>
  </si>
  <si>
    <t>HBBwonen.nu B.V.</t>
  </si>
  <si>
    <t>Johan Willem Frisostraat 36</t>
  </si>
  <si>
    <t>0146</t>
  </si>
  <si>
    <t>HJC Service</t>
  </si>
  <si>
    <t xml:space="preserve">Kaapsebos 11 </t>
  </si>
  <si>
    <t>0192</t>
  </si>
  <si>
    <t>Habroko B.V.</t>
  </si>
  <si>
    <t>Kanaal van Steenenhoek Z.Z. 10</t>
  </si>
  <si>
    <t>0082</t>
  </si>
  <si>
    <t>Head Vastgoed B.V.</t>
  </si>
  <si>
    <t>Kapershoek 11</t>
  </si>
  <si>
    <t>0193</t>
  </si>
  <si>
    <t>Heijdra Dhr. H.M.</t>
  </si>
  <si>
    <t>Karel Doormanlaan 21A</t>
  </si>
  <si>
    <t>0274</t>
  </si>
  <si>
    <t>Hiltermann Lease B.V.</t>
  </si>
  <si>
    <t>Kastanjelaan 232</t>
  </si>
  <si>
    <t>0159</t>
  </si>
  <si>
    <t>Hiway Operational Company B.V.</t>
  </si>
  <si>
    <t>Keesomstraat 22</t>
  </si>
  <si>
    <t>0194</t>
  </si>
  <si>
    <t>Holland Chalet Park</t>
  </si>
  <si>
    <t xml:space="preserve">Keesomstraat 50 </t>
  </si>
  <si>
    <t>0195</t>
  </si>
  <si>
    <t>Homekeur B.V.</t>
  </si>
  <si>
    <t>Keesomstraat 54</t>
  </si>
  <si>
    <t>0196</t>
  </si>
  <si>
    <t>Homescout21 B.V.</t>
  </si>
  <si>
    <t>Kerkdreef 42</t>
  </si>
  <si>
    <t>0084</t>
  </si>
  <si>
    <t>Horus Team Sp. Z.o.o.</t>
  </si>
  <si>
    <t>Kerkweg 9A [333]</t>
  </si>
  <si>
    <t>0312</t>
  </si>
  <si>
    <t>Houses2Rent</t>
  </si>
  <si>
    <t>Kerkweg 9A [334]</t>
  </si>
  <si>
    <t>0313</t>
  </si>
  <si>
    <t>Housing en Transport Facilities B.V.</t>
  </si>
  <si>
    <t>Kerkweg 9A [338]</t>
  </si>
  <si>
    <t>0314</t>
  </si>
  <si>
    <t>Housing en Transport Facilities BV</t>
  </si>
  <si>
    <t>Kerkweg 9A [347]</t>
  </si>
  <si>
    <t>0317</t>
  </si>
  <si>
    <t>HousingWell B.V.</t>
  </si>
  <si>
    <t>Kerkweg 9a [135]</t>
  </si>
  <si>
    <t>0308</t>
  </si>
  <si>
    <t>Houvast Estates B.V.</t>
  </si>
  <si>
    <t xml:space="preserve">Kerkweg 9a [137] </t>
  </si>
  <si>
    <t>0309</t>
  </si>
  <si>
    <t>Hugo Vastgoed B.V.</t>
  </si>
  <si>
    <t>Kerkweg 9a [210]</t>
  </si>
  <si>
    <t>0310</t>
  </si>
  <si>
    <t>I.I. Bhaggoe</t>
  </si>
  <si>
    <t>Kerkweg 9a [269]</t>
  </si>
  <si>
    <t>0311</t>
  </si>
  <si>
    <t>I.T.S. SR.L. (INDUSTRIAL TECHNICAL SERVICES), BRAN</t>
  </si>
  <si>
    <t>Kerkweg 9a [340]</t>
  </si>
  <si>
    <t>0332</t>
  </si>
  <si>
    <t>IC Idea Complex Sp. Z.o.o.</t>
  </si>
  <si>
    <t>Kerkweg 9a [342]</t>
  </si>
  <si>
    <t>0315</t>
  </si>
  <si>
    <t>ICS Impianti S.R.L.</t>
  </si>
  <si>
    <t>Kerkweg 9a [346]</t>
  </si>
  <si>
    <t>0316</t>
  </si>
  <si>
    <t>IFC B.V.</t>
  </si>
  <si>
    <t>Kerkweg 9a [348]</t>
  </si>
  <si>
    <t>0338</t>
  </si>
  <si>
    <t>IPS Industrial Plant Solutions Kft.</t>
  </si>
  <si>
    <t>Kerkweg 9a [349]</t>
  </si>
  <si>
    <t>0318</t>
  </si>
  <si>
    <t>Impes Service S.p.A.</t>
  </si>
  <si>
    <t>Kerkweg 9a [356]</t>
  </si>
  <si>
    <t>0319</t>
  </si>
  <si>
    <t>Impianti Industriala S.P.A. NEDERLAND BRANCH</t>
  </si>
  <si>
    <t>Kerkweg 9a [357]</t>
  </si>
  <si>
    <t>0339</t>
  </si>
  <si>
    <t>In Stijl Totaalbouw BV</t>
  </si>
  <si>
    <t>Kerkweg 9a [359]</t>
  </si>
  <si>
    <t>0320</t>
  </si>
  <si>
    <t>InAxtion Vastgoed B.V.</t>
  </si>
  <si>
    <t>Kerkweg 9a [453]</t>
  </si>
  <si>
    <t>0321</t>
  </si>
  <si>
    <t>Industrial Technical Services Srl</t>
  </si>
  <si>
    <t>Kerkwerversingel 127</t>
  </si>
  <si>
    <t>0225</t>
  </si>
  <si>
    <t>Interim Jobs B.V.</t>
  </si>
  <si>
    <t>Kerstendijk 125</t>
  </si>
  <si>
    <t>0199</t>
  </si>
  <si>
    <t>Interwel Oost B.V.</t>
  </si>
  <si>
    <t>Kethelweg 1B</t>
  </si>
  <si>
    <t>0010</t>
  </si>
  <si>
    <t>I–Housing Vastgoed Beheer B.V.</t>
  </si>
  <si>
    <t>Kethelweg 1C</t>
  </si>
  <si>
    <t>0011</t>
  </si>
  <si>
    <t>J. Hermans</t>
  </si>
  <si>
    <t>Kethelweg 66 D</t>
  </si>
  <si>
    <t>0333</t>
  </si>
  <si>
    <t>J. Hogervorst</t>
  </si>
  <si>
    <t>Kethelweg 66A</t>
  </si>
  <si>
    <t>0088</t>
  </si>
  <si>
    <t>J. J. van Veen</t>
  </si>
  <si>
    <t xml:space="preserve">Kethelweg 66B </t>
  </si>
  <si>
    <t>0122</t>
  </si>
  <si>
    <t>J. Kuipers</t>
  </si>
  <si>
    <t>Kethelweg 66C</t>
  </si>
  <si>
    <t>0033</t>
  </si>
  <si>
    <t>J. Luijsterburg</t>
  </si>
  <si>
    <t>Kethelweg 68A</t>
  </si>
  <si>
    <t>0034</t>
  </si>
  <si>
    <t>J. van Heeswijk</t>
  </si>
  <si>
    <t>Kierkegaardhof 54</t>
  </si>
  <si>
    <t>0085</t>
  </si>
  <si>
    <t>J.D. Jongsma</t>
  </si>
  <si>
    <t>Kimbrenoord 15</t>
  </si>
  <si>
    <t>0202</t>
  </si>
  <si>
    <t>JC Kemp</t>
  </si>
  <si>
    <t>Kimbrenoord 49</t>
  </si>
  <si>
    <t>0359</t>
  </si>
  <si>
    <t>JES Funding &amp; Beheer B.V.</t>
  </si>
  <si>
    <t>Kleine Beer 60</t>
  </si>
  <si>
    <t>0086</t>
  </si>
  <si>
    <t>JJM Personeel B.V.</t>
  </si>
  <si>
    <t>Koningin Julianastraat 27</t>
  </si>
  <si>
    <t>0119</t>
  </si>
  <si>
    <t>JPJ Stoel</t>
  </si>
  <si>
    <t>Koperwerf 28</t>
  </si>
  <si>
    <t>0291</t>
  </si>
  <si>
    <t>JT Glazenwasserij en Schoonmaakdiensten</t>
  </si>
  <si>
    <t>Korte Singelstraat 21-2</t>
  </si>
  <si>
    <t>0126</t>
  </si>
  <si>
    <t>Jacco Maat</t>
  </si>
  <si>
    <t>Korte Singelstraat 21-3</t>
  </si>
  <si>
    <t>0125</t>
  </si>
  <si>
    <t>Jan Luijsterburg Beheer B.V.</t>
  </si>
  <si>
    <t>Krabbendijkestraat 456</t>
  </si>
  <si>
    <t>0198</t>
  </si>
  <si>
    <t>Johan van der Burg</t>
  </si>
  <si>
    <t xml:space="preserve">Kreekrug 1 </t>
  </si>
  <si>
    <t>0205</t>
  </si>
  <si>
    <t>Jong de SAW Dhr</t>
  </si>
  <si>
    <t>Kritostraat 54</t>
  </si>
  <si>
    <t>0389</t>
  </si>
  <si>
    <t>Joost de Jong Holding B.V.</t>
  </si>
  <si>
    <t>Kruiningenstraat 152</t>
  </si>
  <si>
    <t>0206</t>
  </si>
  <si>
    <t>Joyce Bakker Advies</t>
  </si>
  <si>
    <t>Kruiningenstraat 185</t>
  </si>
  <si>
    <t>0360</t>
  </si>
  <si>
    <t>K-Power Netherlands Kft</t>
  </si>
  <si>
    <t>Kruisweg 16</t>
  </si>
  <si>
    <t>0337</t>
  </si>
  <si>
    <t>KODE Staffhousing B.V.</t>
  </si>
  <si>
    <t>Kuipers-Rietbergpad 15</t>
  </si>
  <si>
    <t>0157</t>
  </si>
  <si>
    <t>Kadaster</t>
  </si>
  <si>
    <t xml:space="preserve">Kwekerslaan 7 </t>
  </si>
  <si>
    <t>0382</t>
  </si>
  <si>
    <t>Kajuit</t>
  </si>
  <si>
    <t>Kwikstaartweg 45</t>
  </si>
  <si>
    <t>0207</t>
  </si>
  <si>
    <t>Kapitan Workers Sp. Z.o.o.</t>
  </si>
  <si>
    <t>Laan op Zuid 949</t>
  </si>
  <si>
    <t>0365</t>
  </si>
  <si>
    <t>Kapitein &amp; Personeel B.V</t>
  </si>
  <si>
    <t>Laan van Adrichem 12</t>
  </si>
  <si>
    <t>0209</t>
  </si>
  <si>
    <t>Karadeniz Diensten</t>
  </si>
  <si>
    <t>Laan van Nieuw Blankenburg 278</t>
  </si>
  <si>
    <t>0090</t>
  </si>
  <si>
    <t>Key4work B.V.</t>
  </si>
  <si>
    <t>Laan van Nieuw Blankenburg 328</t>
  </si>
  <si>
    <t>0185</t>
  </si>
  <si>
    <t>Keypro B.V.</t>
  </si>
  <si>
    <t>Landsteinerhof 68</t>
  </si>
  <si>
    <t>0091</t>
  </si>
  <si>
    <t>Kiose Yacht Finishing</t>
  </si>
  <si>
    <t>Lange Brink 3</t>
  </si>
  <si>
    <t>0092</t>
  </si>
  <si>
    <t>Klaas Bos</t>
  </si>
  <si>
    <t>Lange Broekweg 46</t>
  </si>
  <si>
    <t>0278</t>
  </si>
  <si>
    <t>Kleijweg projects</t>
  </si>
  <si>
    <t>Lange kruisweg 12</t>
  </si>
  <si>
    <t>0028</t>
  </si>
  <si>
    <t>Koens T. Dhr.</t>
  </si>
  <si>
    <t>Lavendelpad 6</t>
  </si>
  <si>
    <t>0385</t>
  </si>
  <si>
    <t>Kwekerij Stef Kleijweg</t>
  </si>
  <si>
    <t>Lekdijk 14</t>
  </si>
  <si>
    <t>0366</t>
  </si>
  <si>
    <t>L. Keizer</t>
  </si>
  <si>
    <t>Liesveld 100</t>
  </si>
  <si>
    <t>0180</t>
  </si>
  <si>
    <t>L.M. Schilstra</t>
  </si>
  <si>
    <t>Loggerstraat 3</t>
  </si>
  <si>
    <t>0096</t>
  </si>
  <si>
    <t>LZ Auto- en Motorservice B.V.</t>
  </si>
  <si>
    <t>Lorentzstraat 73</t>
  </si>
  <si>
    <t>0210</t>
  </si>
  <si>
    <t>Labour Housing BV</t>
  </si>
  <si>
    <t xml:space="preserve">Maasdijk 206 </t>
  </si>
  <si>
    <t>0211</t>
  </si>
  <si>
    <t>Lago Personeelshuisvesting B.V.</t>
  </si>
  <si>
    <t xml:space="preserve">Maasdijk 69 </t>
  </si>
  <si>
    <t>0015</t>
  </si>
  <si>
    <t>Langweer Vastgoed B.V.</t>
  </si>
  <si>
    <t>Madeliefstraat 46c</t>
  </si>
  <si>
    <t>0029</t>
  </si>
  <si>
    <t>Leen Bakker Nederland B.V.</t>
  </si>
  <si>
    <t>Madeweg 25C</t>
  </si>
  <si>
    <t>0282</t>
  </si>
  <si>
    <t>Level 5 Assetmanagement B.V.</t>
  </si>
  <si>
    <t>Madeweg 35A</t>
  </si>
  <si>
    <t>0283</t>
  </si>
  <si>
    <t>Lievaart B.V.</t>
  </si>
  <si>
    <t>Malzwin 34</t>
  </si>
  <si>
    <t>0182</t>
  </si>
  <si>
    <t>Light Personeelsdiensten</t>
  </si>
  <si>
    <t>Marathonlaan 26</t>
  </si>
  <si>
    <t>0118</t>
  </si>
  <si>
    <t>Light Personeelsdiensten BV</t>
  </si>
  <si>
    <t xml:space="preserve">Markt 5 </t>
  </si>
  <si>
    <t>0057</t>
  </si>
  <si>
    <t>Lilit Home Makelaardij</t>
  </si>
  <si>
    <t>Marnixstraat 32</t>
  </si>
  <si>
    <t>0323</t>
  </si>
  <si>
    <t>Lion Trading</t>
  </si>
  <si>
    <t>Mathenesserdijk 261-C03</t>
  </si>
  <si>
    <t>0184</t>
  </si>
  <si>
    <t>LogIQ Barendrecht B.V.</t>
  </si>
  <si>
    <t>Meester G. Groen van Prinsterlaan 313</t>
  </si>
  <si>
    <t>0018</t>
  </si>
  <si>
    <t>Looije Facilities B.V.</t>
  </si>
  <si>
    <t>Melis Stokezijde 94</t>
  </si>
  <si>
    <t>0098</t>
  </si>
  <si>
    <t>M van den Berg e/o H van den Berg</t>
  </si>
  <si>
    <t>Mendelssohnplein 10C</t>
  </si>
  <si>
    <t>0215</t>
  </si>
  <si>
    <t>M. Poel</t>
  </si>
  <si>
    <t>Mendelssohnplein 13D</t>
  </si>
  <si>
    <t>0214</t>
  </si>
  <si>
    <t>M.A. Pronk</t>
  </si>
  <si>
    <t>Mendelssohnplein 46a</t>
  </si>
  <si>
    <t>0216</t>
  </si>
  <si>
    <t>M.C. Claassen</t>
  </si>
  <si>
    <t>Messchaertplein 39</t>
  </si>
  <si>
    <t>0035</t>
  </si>
  <si>
    <t>M.J. van Os</t>
  </si>
  <si>
    <t>Messchaertplein 40</t>
  </si>
  <si>
    <t>0036</t>
  </si>
  <si>
    <t>M@tchm@kers International B.V.</t>
  </si>
  <si>
    <t>0037</t>
  </si>
  <si>
    <t>MB Kewal</t>
  </si>
  <si>
    <t>Middelrode 8</t>
  </si>
  <si>
    <t>0217</t>
  </si>
  <si>
    <t>MBS Services B.V.</t>
  </si>
  <si>
    <t>Middenbaan Noord 18A</t>
  </si>
  <si>
    <t>0251</t>
  </si>
  <si>
    <t>MC Mostert prive</t>
  </si>
  <si>
    <t xml:space="preserve">Middenbaan Noord 18B </t>
  </si>
  <si>
    <t>0252</t>
  </si>
  <si>
    <t>MDI Techniek B.V.</t>
  </si>
  <si>
    <t>Middenbaan Noord 18C</t>
  </si>
  <si>
    <t>0253</t>
  </si>
  <si>
    <t>MK Contracting BV</t>
  </si>
  <si>
    <t>Middenbaan Noord 20A</t>
  </si>
  <si>
    <t>0254</t>
  </si>
  <si>
    <t>MNA Proud Facilities B.V.</t>
  </si>
  <si>
    <t>Middenbaan Noord 20B</t>
  </si>
  <si>
    <t>0255</t>
  </si>
  <si>
    <t>MPC Energy B.V.</t>
  </si>
  <si>
    <t>Middenbaan Noord 20C</t>
  </si>
  <si>
    <t>0256</t>
  </si>
  <si>
    <t>Maatschap J.W. Meershoek &amp; W.M. Meershoek</t>
  </si>
  <si>
    <t>Middenbaan Noord 22A</t>
  </si>
  <si>
    <t>0257</t>
  </si>
  <si>
    <t>Maatschap Van Driel - Vd Vlist</t>
  </si>
  <si>
    <t>Middenbaan Noord 22B</t>
  </si>
  <si>
    <t>0258</t>
  </si>
  <si>
    <t>Marco is Vastgoed B.V.</t>
  </si>
  <si>
    <t xml:space="preserve">Middenbaan Noord 22C </t>
  </si>
  <si>
    <t>0259</t>
  </si>
  <si>
    <t>Marco van Beek B.V.</t>
  </si>
  <si>
    <t>Miltonstraat 55</t>
  </si>
  <si>
    <t>0219</t>
  </si>
  <si>
    <t>Maria</t>
  </si>
  <si>
    <t>Miltonstraat 85</t>
  </si>
  <si>
    <t>0220</t>
  </si>
  <si>
    <t>Marseille Bax Van Maanen Rotterdamse account.</t>
  </si>
  <si>
    <t>Molendijk 4</t>
  </si>
  <si>
    <t>0076</t>
  </si>
  <si>
    <t>Mavi Vastgoed</t>
  </si>
  <si>
    <t>Molenstraat 10</t>
  </si>
  <si>
    <t>0221</t>
  </si>
  <si>
    <t>Maytree Invest</t>
  </si>
  <si>
    <t>Molenstraat 23</t>
  </si>
  <si>
    <t>0222</t>
  </si>
  <si>
    <t>Mediterranean Careers Netherlands B.V.</t>
  </si>
  <si>
    <t>Molenweg 135</t>
  </si>
  <si>
    <t>0100</t>
  </si>
  <si>
    <t>Meerdervoort Queda Real B.V.</t>
  </si>
  <si>
    <t>Molenweg 3A</t>
  </si>
  <si>
    <t>0284</t>
  </si>
  <si>
    <t>Milieu Service Brabant</t>
  </si>
  <si>
    <t>Molenweg 3B</t>
  </si>
  <si>
    <t>0335</t>
  </si>
  <si>
    <t>Mooswijk T.R. &amp; Plugers R.</t>
  </si>
  <si>
    <t>Monseigneur W.M. Bekkerslaan 34</t>
  </si>
  <si>
    <t>0074</t>
  </si>
  <si>
    <t>Multiservizi Romania SRL</t>
  </si>
  <si>
    <t>Monsterseweg 26A</t>
  </si>
  <si>
    <t>0358</t>
  </si>
  <si>
    <t>Multiserwis SP z o.o.</t>
  </si>
  <si>
    <t>Moureauveld 8</t>
  </si>
  <si>
    <t>0101</t>
  </si>
  <si>
    <t>MvB Services</t>
  </si>
  <si>
    <t>Mr. L.A. Kesperweg 31A</t>
  </si>
  <si>
    <t>0208</t>
  </si>
  <si>
    <t>Mw. M. Hyllested Poulsen en Dhr. S. Crull</t>
  </si>
  <si>
    <t>Mr. Troelstrastraat 11</t>
  </si>
  <si>
    <t>0213</t>
  </si>
  <si>
    <t>N2people B.V.</t>
  </si>
  <si>
    <t>Mr. Troelstrastraat 37</t>
  </si>
  <si>
    <t>0020</t>
  </si>
  <si>
    <t>NL Realty B.V.</t>
  </si>
  <si>
    <t xml:space="preserve">Narcissenstraat 23 </t>
  </si>
  <si>
    <t>0103</t>
  </si>
  <si>
    <t>Nerom Flex B.V.</t>
  </si>
  <si>
    <t>Narcissenstraat 37</t>
  </si>
  <si>
    <t>0104</t>
  </si>
  <si>
    <t>Nerom Industrial Flex B.V.</t>
  </si>
  <si>
    <t>Narcissenstraat 9</t>
  </si>
  <si>
    <t>0102</t>
  </si>
  <si>
    <t>O.J.P Soc Construções</t>
  </si>
  <si>
    <t>Nicolaas Beetsstraat 29</t>
  </si>
  <si>
    <t>0224</t>
  </si>
  <si>
    <t>O.P.H. Verhuur B.V. / Eigenaar.nl</t>
  </si>
  <si>
    <t>Nieuwe Zeedijk 1K 308</t>
  </si>
  <si>
    <t>0108</t>
  </si>
  <si>
    <t>O.Vasiutina</t>
  </si>
  <si>
    <t>Nieuwenhoornstraat 46B</t>
  </si>
  <si>
    <t>0046</t>
  </si>
  <si>
    <t>OGSS BV</t>
  </si>
  <si>
    <t>Nieuwkerstraat 78</t>
  </si>
  <si>
    <t>0166</t>
  </si>
  <si>
    <t>OJP B.V.</t>
  </si>
  <si>
    <t>Noordmolenstraat 36a</t>
  </si>
  <si>
    <t>0328</t>
  </si>
  <si>
    <t>Odido Netherlands</t>
  </si>
  <si>
    <t>Noordmolenstraat 36b</t>
  </si>
  <si>
    <t>0329</t>
  </si>
  <si>
    <t>Oostkracht Bemiddeling B.V.</t>
  </si>
  <si>
    <t>Noordmolenstraat 36c</t>
  </si>
  <si>
    <t>0330</t>
  </si>
  <si>
    <t>Optima Uitzendbureau B.V.</t>
  </si>
  <si>
    <t>Nunspeetlaan 14</t>
  </si>
  <si>
    <t>0001</t>
  </si>
  <si>
    <t>Orange Investments Group</t>
  </si>
  <si>
    <t>Nunspeetlaan 53</t>
  </si>
  <si>
    <t>0041</t>
  </si>
  <si>
    <t>Orange Investments Group B.V.</t>
  </si>
  <si>
    <t>Ofwegen 1A</t>
  </si>
  <si>
    <t>0336</t>
  </si>
  <si>
    <t>Oranjegroep Vastgoed B.V.</t>
  </si>
  <si>
    <t>Oosterstraat 89</t>
  </si>
  <si>
    <t>0111</t>
  </si>
  <si>
    <t>Oxrooms</t>
  </si>
  <si>
    <t xml:space="preserve">Oostlaan 3 </t>
  </si>
  <si>
    <t>0227</t>
  </si>
  <si>
    <t>P. Gryspeerdt</t>
  </si>
  <si>
    <t>Opaal 9</t>
  </si>
  <si>
    <t>0110</t>
  </si>
  <si>
    <t>P. Nederstigt</t>
  </si>
  <si>
    <t>Oranjestraat 63</t>
  </si>
  <si>
    <t>0369</t>
  </si>
  <si>
    <t>P. Ter Haar-Ros</t>
  </si>
  <si>
    <t>Oudewefslaan 84</t>
  </si>
  <si>
    <t>0112</t>
  </si>
  <si>
    <t>PMM Workforce Management Ltd</t>
  </si>
  <si>
    <t>P.F. Catsstraat 8</t>
  </si>
  <si>
    <t>0218</t>
  </si>
  <si>
    <t>PRP Solutions Flex Sp. Z.O.O</t>
  </si>
  <si>
    <t>Parallelweg 110A</t>
  </si>
  <si>
    <t>0042</t>
  </si>
  <si>
    <t>Parkwonen</t>
  </si>
  <si>
    <t>Parallelweg 114C</t>
  </si>
  <si>
    <t>0380</t>
  </si>
  <si>
    <t>People21 Services BV</t>
  </si>
  <si>
    <t xml:space="preserve">Parallelweg 122A </t>
  </si>
  <si>
    <t>0228</t>
  </si>
  <si>
    <t>PersoneelDirectFriesland</t>
  </si>
  <si>
    <t>Parallelweg 134B</t>
  </si>
  <si>
    <t>0381</t>
  </si>
  <si>
    <t>Plural Albufeira S.R.L.</t>
  </si>
  <si>
    <t>Parallelweg 98B</t>
  </si>
  <si>
    <t>0229</t>
  </si>
  <si>
    <t>Pol Flex B.V.</t>
  </si>
  <si>
    <t>Pasteursingel 61B</t>
  </si>
  <si>
    <t>0230</t>
  </si>
  <si>
    <t>Profectus Staffing Solutions</t>
  </si>
  <si>
    <t>Pastoor Gillisstraat 81-A</t>
  </si>
  <si>
    <t>0344</t>
  </si>
  <si>
    <t>Quality Home Rentals</t>
  </si>
  <si>
    <t>Pastoriedijk 89</t>
  </si>
  <si>
    <t>0083</t>
  </si>
  <si>
    <t>R&amp;E Services</t>
  </si>
  <si>
    <t>Patrijsstraat 39</t>
  </si>
  <si>
    <t>0081</t>
  </si>
  <si>
    <t>R. Bassil</t>
  </si>
  <si>
    <t>Persoonsdam 176</t>
  </si>
  <si>
    <t>0260</t>
  </si>
  <si>
    <t>RNDV Industries</t>
  </si>
  <si>
    <t>Persoonsdam 177</t>
  </si>
  <si>
    <t>0261</t>
  </si>
  <si>
    <t>RNVD Industries</t>
  </si>
  <si>
    <t>Persoonsdam 178</t>
  </si>
  <si>
    <t>0262</t>
  </si>
  <si>
    <t>Randstad Wonen</t>
  </si>
  <si>
    <t>Persoonsdam 179</t>
  </si>
  <si>
    <t>0263</t>
  </si>
  <si>
    <t>Ras R.A. Dhr.</t>
  </si>
  <si>
    <t>Persoonsdam 180</t>
  </si>
  <si>
    <t>0264</t>
  </si>
  <si>
    <t>Reham Verhuur B.V.</t>
  </si>
  <si>
    <t>Persoonsdam 181</t>
  </si>
  <si>
    <t>0265</t>
  </si>
  <si>
    <t>Resource One B.V.</t>
  </si>
  <si>
    <t>Persoonsdam 182</t>
  </si>
  <si>
    <t>0266</t>
  </si>
  <si>
    <t>Robert L.P. de Jonge</t>
  </si>
  <si>
    <t>Persoonsdam 194</t>
  </si>
  <si>
    <t>0267</t>
  </si>
  <si>
    <t>Royal DS Personeel-service</t>
  </si>
  <si>
    <t>Persoonsdam 196</t>
  </si>
  <si>
    <t>0349</t>
  </si>
  <si>
    <t>Ruva Vastgoed B.V.</t>
  </si>
  <si>
    <t>Persoonsdam 198</t>
  </si>
  <si>
    <t>0268</t>
  </si>
  <si>
    <t>RyanRent B.V.</t>
  </si>
  <si>
    <t>Peursumseweg 119A</t>
  </si>
  <si>
    <t>0113</t>
  </si>
  <si>
    <t>S Kleijweg</t>
  </si>
  <si>
    <t>Piersonstraat 8</t>
  </si>
  <si>
    <t>0114</t>
  </si>
  <si>
    <t>S. Bakker OPH Verhuur</t>
  </si>
  <si>
    <t>Plaats 10</t>
  </si>
  <si>
    <t>0120</t>
  </si>
  <si>
    <t>S. Dolstra</t>
  </si>
  <si>
    <t>Platostraat 80</t>
  </si>
  <si>
    <t>0231</t>
  </si>
  <si>
    <t>S. Kleiren</t>
  </si>
  <si>
    <t>Pleinweg 101 A</t>
  </si>
  <si>
    <t>0044</t>
  </si>
  <si>
    <t>S. Marinus (zie 50200)</t>
  </si>
  <si>
    <t>Pleinweg 101 B</t>
  </si>
  <si>
    <t>0045</t>
  </si>
  <si>
    <t>S. Meijer</t>
  </si>
  <si>
    <t>Ploegstraat 2a</t>
  </si>
  <si>
    <t>0079</t>
  </si>
  <si>
    <t>SHGJ Ribbink</t>
  </si>
  <si>
    <t>Poeldijkseweg 27</t>
  </si>
  <si>
    <t>0285</t>
  </si>
  <si>
    <t>SS Kara Yacht Painters LLP</t>
  </si>
  <si>
    <t>Poeldijkseweg 29</t>
  </si>
  <si>
    <t>0378</t>
  </si>
  <si>
    <t>STANA d.o.o.</t>
  </si>
  <si>
    <t>Poolsestraat 29A</t>
  </si>
  <si>
    <t>0386</t>
  </si>
  <si>
    <t>Sagius Uitzenders B.V.</t>
  </si>
  <si>
    <t>Poppestraat 59</t>
  </si>
  <si>
    <t>0115</t>
  </si>
  <si>
    <t>Showtuin Nederland B.V.</t>
  </si>
  <si>
    <t>Prins Bernhardstraat 40</t>
  </si>
  <si>
    <t>0116</t>
  </si>
  <si>
    <t>Shtan Vitaliy</t>
  </si>
  <si>
    <t>Prins Willemweg 2</t>
  </si>
  <si>
    <t>0287</t>
  </si>
  <si>
    <t>Soul inn B.B B.V</t>
  </si>
  <si>
    <t>Prinses Wilhelminastraat 9</t>
  </si>
  <si>
    <t>0106</t>
  </si>
  <si>
    <t>Space4U B.V.</t>
  </si>
  <si>
    <t>Professor Kamerlingh Onneslaan 134 A</t>
  </si>
  <si>
    <t>0269</t>
  </si>
  <si>
    <t>St. Zakelijke Beh.rek. Dijkstra Vastgoedbeh.</t>
  </si>
  <si>
    <t>Professor Kamerlingh Onneslaan 134 B1</t>
  </si>
  <si>
    <t>0270</t>
  </si>
  <si>
    <t>Stay21</t>
  </si>
  <si>
    <t>Professor Kamerlingh Onneslaan 134 B2</t>
  </si>
  <si>
    <t>0271</t>
  </si>
  <si>
    <t>StayProjects Group Netherlands B.V.</t>
  </si>
  <si>
    <t>Professor Kamerlingh Onneslaan 134 B3</t>
  </si>
  <si>
    <t>0272</t>
  </si>
  <si>
    <t>Stichting Bewaring PRMD</t>
  </si>
  <si>
    <t>Professor Poelslaan 58C</t>
  </si>
  <si>
    <t>0340</t>
  </si>
  <si>
    <t>Suricare B.V.</t>
  </si>
  <si>
    <t>Prunuslaan 36</t>
  </si>
  <si>
    <t>0117</t>
  </si>
  <si>
    <t>T. Hoolhorst</t>
  </si>
  <si>
    <t xml:space="preserve">Punter 22 34 </t>
  </si>
  <si>
    <t>0204</t>
  </si>
  <si>
    <t>T. van de Moosdijk</t>
  </si>
  <si>
    <t>Putsebocht 136 B01</t>
  </si>
  <si>
    <t>0361</t>
  </si>
  <si>
    <t>T.A. Middelkoop</t>
  </si>
  <si>
    <t>Putter 42</t>
  </si>
  <si>
    <t>0327</t>
  </si>
  <si>
    <t>T.A. van der Burg</t>
  </si>
  <si>
    <t>Rembrandtstraat 20B</t>
  </si>
  <si>
    <t>0233</t>
  </si>
  <si>
    <t>THS EU B.V.</t>
  </si>
  <si>
    <t>Rietdijkstraat 56A</t>
  </si>
  <si>
    <t>0363</t>
  </si>
  <si>
    <t>TNM Vastgoed B.V.</t>
  </si>
  <si>
    <t>Rietdijkstraat 56B</t>
  </si>
  <si>
    <t>0364</t>
  </si>
  <si>
    <t>TOTAL Nederland N.V.</t>
  </si>
  <si>
    <t>Rijpstraat 24</t>
  </si>
  <si>
    <t>0377</t>
  </si>
  <si>
    <t>Team Home Rentals B.V.</t>
  </si>
  <si>
    <t>Ringbaan Oost 327</t>
  </si>
  <si>
    <t>0005</t>
  </si>
  <si>
    <t>Team Technical Services BV</t>
  </si>
  <si>
    <t>Rivierdijk 793</t>
  </si>
  <si>
    <t>0226</t>
  </si>
  <si>
    <t>Team Unica B.V.</t>
  </si>
  <si>
    <t>Rivierdijk 794</t>
  </si>
  <si>
    <t>0121</t>
  </si>
  <si>
    <t>TecFlex B.V.</t>
  </si>
  <si>
    <t>Roerdompstraat 4B</t>
  </si>
  <si>
    <t>0390</t>
  </si>
  <si>
    <t>Techvisie Personeelsdiensten Centraal B.V.</t>
  </si>
  <si>
    <t>Rooseveltlaan 185</t>
  </si>
  <si>
    <t>0179</t>
  </si>
  <si>
    <t>Tempsteel B.V.</t>
  </si>
  <si>
    <t>Rotterdamsedijk 154B</t>
  </si>
  <si>
    <t>0234</t>
  </si>
  <si>
    <t>The Housing Guild B.V.</t>
  </si>
  <si>
    <t>Rubensplein 3 B</t>
  </si>
  <si>
    <t>0235</t>
  </si>
  <si>
    <t>Thuisvesting B.V.</t>
  </si>
  <si>
    <t>Rubensplein 6B3</t>
  </si>
  <si>
    <t>0154</t>
  </si>
  <si>
    <t>Timing Uitzendteam BV</t>
  </si>
  <si>
    <t>Ruigenhoek 69</t>
  </si>
  <si>
    <t>0362</t>
  </si>
  <si>
    <t>Tradiro Services B.V.</t>
  </si>
  <si>
    <t xml:space="preserve">Schalkeroord 389 </t>
  </si>
  <si>
    <t>0236</t>
  </si>
  <si>
    <t>Transport People B.V.</t>
  </si>
  <si>
    <t>Scheepjesbrug 433</t>
  </si>
  <si>
    <t>0144</t>
  </si>
  <si>
    <t>Twins BV</t>
  </si>
  <si>
    <t>Scheepjesbrug 814</t>
  </si>
  <si>
    <t>0197</t>
  </si>
  <si>
    <t>UAB Baltic Contracting Group</t>
  </si>
  <si>
    <t>Schere 238</t>
  </si>
  <si>
    <t>0237</t>
  </si>
  <si>
    <t>UAB Techsome</t>
  </si>
  <si>
    <t>Schoonegge 110</t>
  </si>
  <si>
    <t>0239</t>
  </si>
  <si>
    <t>UAB Toromega</t>
  </si>
  <si>
    <t>Schoonegge 84</t>
  </si>
  <si>
    <t>0240</t>
  </si>
  <si>
    <t>Sint Josephstraat 61</t>
  </si>
  <si>
    <t>0050</t>
  </si>
  <si>
    <t>UAB „Laivsta“/ JSC „Laivsta“, Part of Litana Group</t>
  </si>
  <si>
    <t>Sint Liduinastraat 76 A</t>
  </si>
  <si>
    <t>0242</t>
  </si>
  <si>
    <t>Uitzendbureau Bakker B.V.</t>
  </si>
  <si>
    <t>Sint Liduinastraat 80A</t>
  </si>
  <si>
    <t>0243</t>
  </si>
  <si>
    <t>Uitzendwerk B.V.</t>
  </si>
  <si>
    <t>Sint Liduinastraat 80B</t>
  </si>
  <si>
    <t>0244</t>
  </si>
  <si>
    <t>United Homes B.V.</t>
  </si>
  <si>
    <t>Sint-Annalandstraat 116</t>
  </si>
  <si>
    <t>0164</t>
  </si>
  <si>
    <t>United Homes Inhouse B.V.</t>
  </si>
  <si>
    <t>Snecanusstraat 12</t>
  </si>
  <si>
    <t>0123</t>
  </si>
  <si>
    <t>V.B.A. Beheer B.V.</t>
  </si>
  <si>
    <t>Snoekenveen 242</t>
  </si>
  <si>
    <t>0124</t>
  </si>
  <si>
    <t>V.O.F. Groepsaccommodaties Drenthe</t>
  </si>
  <si>
    <t>Socratesstraat 168</t>
  </si>
  <si>
    <t>0246</t>
  </si>
  <si>
    <t>VALO Facilities B.V.</t>
  </si>
  <si>
    <t>Spoorsingel 154b</t>
  </si>
  <si>
    <t>0247</t>
  </si>
  <si>
    <t>Stal 355</t>
  </si>
  <si>
    <t>0200</t>
  </si>
  <si>
    <t>Vaktec B.V.</t>
  </si>
  <si>
    <t>Steenen Dijck 87</t>
  </si>
  <si>
    <t>0099</t>
  </si>
  <si>
    <t>Vaktec BV</t>
  </si>
  <si>
    <t>Struitenweg 19b</t>
  </si>
  <si>
    <t>0127</t>
  </si>
  <si>
    <t>Valkenet Vastgoed B.V.</t>
  </si>
  <si>
    <t>Tesselschadelaan 45</t>
  </si>
  <si>
    <t>0128</t>
  </si>
  <si>
    <t>Van Bergen Personeelsdiensten B.V.</t>
  </si>
  <si>
    <t>Tholenstraat 114</t>
  </si>
  <si>
    <t>0249</t>
  </si>
  <si>
    <t>Van Mossel Rotterdam</t>
  </si>
  <si>
    <t xml:space="preserve">Utrechtse straatweg 7 </t>
  </si>
  <si>
    <t>0129</t>
  </si>
  <si>
    <t>Van der Wal Bedrijfshuisvesting B.V.</t>
  </si>
  <si>
    <t>Vaartweg 106C</t>
  </si>
  <si>
    <t>0021</t>
  </si>
  <si>
    <t>Vast-PS Housing</t>
  </si>
  <si>
    <t>Van Hoofsweg 4</t>
  </si>
  <si>
    <t>0355</t>
  </si>
  <si>
    <t>Vastgoed Spijkenisse</t>
  </si>
  <si>
    <t>Van Langedonckstraat 80</t>
  </si>
  <si>
    <t>0130</t>
  </si>
  <si>
    <t>Verhuur en onderhoudsbedrijf Hilaard</t>
  </si>
  <si>
    <t>Van Maanenstraat 14A</t>
  </si>
  <si>
    <t>0089</t>
  </si>
  <si>
    <t>Verkeersschool Nobel</t>
  </si>
  <si>
    <t>Van Ruijsdaellaan 72 A</t>
  </si>
  <si>
    <t>0347</t>
  </si>
  <si>
    <t>Verlangen Finance BV</t>
  </si>
  <si>
    <t>Van Ruijsdaellaan 72 B</t>
  </si>
  <si>
    <t>0351</t>
  </si>
  <si>
    <t>Vivir Wonen</t>
  </si>
  <si>
    <t>Van Ruijsdaellaan 72 C</t>
  </si>
  <si>
    <t>0352</t>
  </si>
  <si>
    <t>Vleesbewerking van der Pijl B.V.</t>
  </si>
  <si>
    <t>Van Swinderenstraat 21</t>
  </si>
  <si>
    <t>0324</t>
  </si>
  <si>
    <t>Vlot Vastgoed B.V.</t>
  </si>
  <si>
    <t xml:space="preserve">Van der Werffstraat 370 </t>
  </si>
  <si>
    <t>0238</t>
  </si>
  <si>
    <t>Vondellaan Vastgoed Beheer B.V.</t>
  </si>
  <si>
    <t>Venkelstraat 29A</t>
  </si>
  <si>
    <t>0137</t>
  </si>
  <si>
    <t>W.T. Bosgraaf en E. Stam</t>
  </si>
  <si>
    <t xml:space="preserve">Verschansing 21 </t>
  </si>
  <si>
    <t>0387</t>
  </si>
  <si>
    <t>WIL International B.V.</t>
  </si>
  <si>
    <t>Vierambachtsstraat 32-B01</t>
  </si>
  <si>
    <t>0374</t>
  </si>
  <si>
    <t>WILL Vakkrachten B. V.</t>
  </si>
  <si>
    <t>Visartstraat 31</t>
  </si>
  <si>
    <t>0158</t>
  </si>
  <si>
    <t>WS Detachering BV</t>
  </si>
  <si>
    <t>Voeghoutenstraat 236</t>
  </si>
  <si>
    <t>0132</t>
  </si>
  <si>
    <t>Welcome Housing B.V.</t>
  </si>
  <si>
    <t>Vogelschorstraat 24</t>
  </si>
  <si>
    <t>0167</t>
  </si>
  <si>
    <t>Werckpost Service B.V.</t>
  </si>
  <si>
    <t>Voorstraat 10</t>
  </si>
  <si>
    <t>0077</t>
  </si>
  <si>
    <t>Workforce Housing Holland B.V.</t>
  </si>
  <si>
    <t>Voorstraat 25</t>
  </si>
  <si>
    <t>0080</t>
  </si>
  <si>
    <t>Workforce Housing International B.V</t>
  </si>
  <si>
    <t>Waellandweg 12</t>
  </si>
  <si>
    <t>0286</t>
  </si>
  <si>
    <t>Works Personeelsdiensten</t>
  </si>
  <si>
    <t>Wagenstraat 70</t>
  </si>
  <si>
    <t>0348</t>
  </si>
  <si>
    <t>Y. K. Bos</t>
  </si>
  <si>
    <t>Wedderweg 3</t>
  </si>
  <si>
    <t>0368</t>
  </si>
  <si>
    <t>YaY</t>
  </si>
  <si>
    <t>Westercluft 134</t>
  </si>
  <si>
    <t>0138</t>
  </si>
  <si>
    <t>Z Yilmaz</t>
  </si>
  <si>
    <t>Westfrankelandsestraat 108</t>
  </si>
  <si>
    <t>0038</t>
  </si>
  <si>
    <t>ZaMens R.I.A. B.V.</t>
  </si>
  <si>
    <t>Wieldraaierstraat 39</t>
  </si>
  <si>
    <t>0105</t>
  </si>
  <si>
    <t>Zeeland Housing Facility B.V.</t>
  </si>
  <si>
    <t>Wijdstraat 13</t>
  </si>
  <si>
    <t>0171</t>
  </si>
  <si>
    <t>dockHolland Huisvesting B.V.</t>
  </si>
  <si>
    <t>Wijngaard 66</t>
  </si>
  <si>
    <t>0212</t>
  </si>
  <si>
    <t>house of work</t>
  </si>
  <si>
    <t xml:space="preserve">Wilgensingel 63 </t>
  </si>
  <si>
    <t>0139</t>
  </si>
  <si>
    <t>van Heeswijk</t>
  </si>
  <si>
    <t>Wilgenstraat 37</t>
  </si>
  <si>
    <t>0140</t>
  </si>
  <si>
    <t>Wilhelmina Druckerstraat 68</t>
  </si>
  <si>
    <t>0142</t>
  </si>
  <si>
    <t>Wilhelminastraat 8</t>
  </si>
  <si>
    <t>0141</t>
  </si>
  <si>
    <t>Willem Lodewijkstraat 8</t>
  </si>
  <si>
    <t>0143</t>
  </si>
  <si>
    <t>Willem de Rijkelaan 134</t>
  </si>
  <si>
    <t>0161</t>
  </si>
  <si>
    <t xml:space="preserve">Woutersweg 20 </t>
  </si>
  <si>
    <t>0186</t>
  </si>
  <si>
    <t>Wouwbaan 230</t>
  </si>
  <si>
    <t>0145</t>
  </si>
  <si>
    <t>Zuidhoek 209D</t>
  </si>
  <si>
    <t>0232</t>
  </si>
  <si>
    <t>Zwethkade Zuid 30A</t>
  </si>
  <si>
    <t>0376</t>
  </si>
  <si>
    <t>Zwingel 8B</t>
  </si>
  <si>
    <t>0371</t>
  </si>
  <si>
    <t>de Genestetstraat 32</t>
  </si>
  <si>
    <t>0169</t>
  </si>
  <si>
    <t>van Scorelstraat 73</t>
  </si>
  <si>
    <t>0016</t>
  </si>
  <si>
    <t>van der Waalsstraat 16</t>
  </si>
  <si>
    <t>0248</t>
  </si>
  <si>
    <t>van der Waalsstraat 70</t>
  </si>
  <si>
    <t>0250</t>
  </si>
  <si>
    <t>van der Werffstraat 166</t>
  </si>
  <si>
    <t>0241</t>
  </si>
  <si>
    <t>van der Werffstraat 240</t>
  </si>
  <si>
    <t>0245</t>
  </si>
  <si>
    <t>GWE</t>
  </si>
  <si>
    <t>GWE_Item</t>
  </si>
  <si>
    <t>Water</t>
  </si>
  <si>
    <t>Levering</t>
  </si>
  <si>
    <t>dag</t>
  </si>
  <si>
    <t>Vastrecht</t>
  </si>
  <si>
    <t>Elektra</t>
  </si>
  <si>
    <t>Gas</t>
  </si>
  <si>
    <t>Belasting op leiding water</t>
  </si>
  <si>
    <t>Precarioheffing</t>
  </si>
  <si>
    <t>Enkel tarief</t>
  </si>
  <si>
    <t>Vaste Leveringskosten (Elektra)</t>
  </si>
  <si>
    <t>Vermindering Energie belasting</t>
  </si>
  <si>
    <t>Net beheerkosten 3 x 25 p/d (elektra)</t>
  </si>
  <si>
    <t>Gas Verbruik</t>
  </si>
  <si>
    <t>Vaste Leveringskosten (Gas)</t>
  </si>
  <si>
    <t>Net beheerkosten 3 x 25 p/d (gas)</t>
  </si>
  <si>
    <t>Schoonmaak</t>
  </si>
  <si>
    <t>Basis</t>
  </si>
  <si>
    <t>Via RyanRent</t>
  </si>
  <si>
    <t>Vattenfall</t>
  </si>
  <si>
    <t>Intensief Schoonmaak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</si>
</sst>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€\ #,##0.00"/>
    <numFmt numFmtId="174" formatCode="&quot;€&quot;\ #,##0.00"/>
    <numFmt numFmtId="180" formatCode="&quot;€&quot;\ #,##0.000000"/>
  </numFmts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4"/>
      <name val="Calibri"/>
      <family val="2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5B5B5B"/>
        <bgColor rgb="FF5B5B5B"/>
      </patternFill>
    </fill>
    <fill>
      <patternFill patternType="solid">
        <fgColor rgb="FF4472C4"/>
        <bgColor rgb="FF4472C4"/>
      </patternFill>
    </fill>
    <fill>
      <patternFill patternType="solid">
        <fgColor rgb="FFED7D31"/>
        <bgColor rgb="FFED7D31"/>
      </patternFill>
    </fill>
    <fill>
      <patternFill patternType="solid">
        <fgColor rgb="FFFFC000"/>
        <bgColor rgb="FFFFC000"/>
      </patternFill>
    </fill>
    <fill>
      <patternFill patternType="solid">
        <fgColor rgb="FFC00000"/>
        <bgColor rgb="FFC00000"/>
      </patternFill>
    </fill>
    <fill>
      <patternFill patternType="solid">
        <fgColor rgb="FFE7E6E6"/>
        <bgColor rgb="FFE7E6E6"/>
      </patternFill>
    </fill>
    <fill>
      <patternFill patternType="solid">
        <fgColor rgb="FF364E6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15">
    <xf numFmtId="0" fontId="0" fillId="0" borderId="0" xfId="0"/>
    <xf numFmtId="0" fontId="2" fillId="0" borderId="0" xfId="0" applyFont="1"/>
    <xf numFmtId="0" fontId="1" fillId="8" borderId="0" xfId="0" applyFont="1" applyFill="1"/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164" fontId="0" fillId="7" borderId="0" xfId="0" applyNumberFormat="1" applyFill="1"/>
    <xf numFmtId="9" fontId="1" fillId="5" borderId="0" xfId="1" applyFont="1" applyFill="1" applyAlignment="1">
      <alignment horizontal="center"/>
    </xf>
    <xf numFmtId="9" fontId="0" fillId="0" borderId="0" xfId="1" applyFont="1"/>
    <xf numFmtId="174" fontId="0" fillId="0" borderId="0" xfId="0" applyNumberFormat="1"/>
    <xf numFmtId="180" fontId="0" fillId="0" borderId="0" xfId="0" applyNumberFormat="1"/>
    <xf numFmtId="14" fontId="0" fillId="0" borderId="0" xfId="0" applyNumberFormat="1"/>
    <xf numFmtId="174" fontId="1" fillId="3" borderId="0" xfId="0" applyNumberFormat="1" applyFont="1" applyFill="1" applyAlignment="1">
      <alignment horizontal="center"/>
    </xf>
  </cellXfs>
  <cellStyles count="2">
    <cellStyle name="Normal" xfId="0" builtinId="0"/>
    <cellStyle name="Per cent" xfId="1" builtinId="5"/>
  </cellStyles>
  <dxfs count="8">
    <dxf>
      <fill>
        <patternFill patternType="solid">
          <fgColor rgb="FFE7E6E6"/>
          <bgColor rgb="FFE7E6E6"/>
        </patternFill>
      </fill>
    </dxf>
    <dxf>
      <fill>
        <patternFill patternType="solid">
          <fgColor rgb="FFE7E6E6"/>
          <bgColor rgb="FFE7E6E6"/>
        </patternFill>
      </fill>
    </dxf>
    <dxf>
      <fill>
        <patternFill patternType="solid">
          <fgColor rgb="FFE7E6E6"/>
          <bgColor rgb="FFE7E6E6"/>
        </patternFill>
      </fill>
    </dxf>
    <dxf>
      <fill>
        <patternFill patternType="solid">
          <fgColor rgb="FFE7E6E6"/>
          <bgColor rgb="FFE7E6E6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E53"/>
  <sheetViews>
    <sheetView workbookViewId="0"/>
  </sheetViews>
  <sheetFormatPr baseColWidth="10" defaultColWidth="8.83203125" defaultRowHeight="15" x14ac:dyDescent="0.2"/>
  <cols>
    <col min="1" max="1" width="30" customWidth="1"/>
    <col min="2" max="5" width="15" customWidth="1"/>
  </cols>
  <sheetData>
    <row r="1" spans="1:5" ht="19" x14ac:dyDescent="0.25">
      <c r="A1" s="1" t="s">
        <v>0</v>
      </c>
    </row>
    <row r="3" spans="1:5" x14ac:dyDescent="0.2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</row>
    <row r="4" spans="1:5" x14ac:dyDescent="0.2">
      <c r="A4" t="str">
        <f>_xlfn.UNIQUE(_xlfn._xlws.FILTER(Input!A2:A5000, Input!A2:A5000&lt;&gt;""))</f>
        <v>Rooseveltlaan 185</v>
      </c>
      <c r="B4" t="str">
        <f>IF(A4="","",IF(COUNTIFS(Input!$A:$A, A4, Input!$B:$B, "Basis")&gt;0, "OK", "MISSING"))</f>
        <v>OK</v>
      </c>
      <c r="C4" t="str">
        <f>IF(A4="","",IF(COUNTIFS(Input!$A:$A, A4, Input!$B:$B, "GWE")&gt;0, "OK", "MISSING"))</f>
        <v>OK</v>
      </c>
      <c r="D4" t="str">
        <f>IF(A4="","",IF(COUNTIFS(Input!$A:$A, A4, Input!$B:$B, "Schoonmaak")&gt;0, "OK", "MISSING"))</f>
        <v>OK</v>
      </c>
      <c r="E4" t="str">
        <f t="shared" ref="E4:E35" si="0">IF(A4="","",IF(AND(B4="OK",C4="OK",D4="OK"), "✅ READY", "⚠️ INCOMPLETE"))</f>
        <v>✅ READY</v>
      </c>
    </row>
    <row r="5" spans="1:5" x14ac:dyDescent="0.2">
      <c r="B5" t="str">
        <f>IF(A5="","",IF(COUNTIFS(Input!$A:$A, A5, Input!$B:$B, "Basis")&gt;0, "OK", "MISSING"))</f>
        <v/>
      </c>
      <c r="C5" t="str">
        <f>IF(A5="","",IF(COUNTIFS(Input!$A:$A, A5, Input!$B:$B, "GWE")&gt;0, "OK", "MISSING"))</f>
        <v/>
      </c>
      <c r="D5" t="str">
        <f>IF(A5="","",IF(COUNTIFS(Input!$A:$A, A5, Input!$B:$B, "Schoonmaak")&gt;0, "OK", "MISSING"))</f>
        <v/>
      </c>
      <c r="E5" t="str">
        <f t="shared" si="0"/>
        <v/>
      </c>
    </row>
    <row r="6" spans="1:5" x14ac:dyDescent="0.2">
      <c r="B6" t="str">
        <f>IF(A6="","",IF(COUNTIFS(Input!$A:$A, A6, Input!$B:$B, "Basis")&gt;0, "OK", "MISSING"))</f>
        <v/>
      </c>
      <c r="C6" t="str">
        <f>IF(A6="","",IF(COUNTIFS(Input!$A:$A, A6, Input!$B:$B, "GWE")&gt;0, "OK", "MISSING"))</f>
        <v/>
      </c>
      <c r="D6" t="str">
        <f>IF(A6="","",IF(COUNTIFS(Input!$A:$A, A6, Input!$B:$B, "Schoonmaak")&gt;0, "OK", "MISSING"))</f>
        <v/>
      </c>
      <c r="E6" t="str">
        <f t="shared" si="0"/>
        <v/>
      </c>
    </row>
    <row r="7" spans="1:5" x14ac:dyDescent="0.2">
      <c r="B7" t="str">
        <f>IF(A7="","",IF(COUNTIFS(Input!$A:$A, A7, Input!$B:$B, "Basis")&gt;0, "OK", "MISSING"))</f>
        <v/>
      </c>
      <c r="C7" t="str">
        <f>IF(A7="","",IF(COUNTIFS(Input!$A:$A, A7, Input!$B:$B, "GWE")&gt;0, "OK", "MISSING"))</f>
        <v/>
      </c>
      <c r="D7" t="str">
        <f>IF(A7="","",IF(COUNTIFS(Input!$A:$A, A7, Input!$B:$B, "Schoonmaak")&gt;0, "OK", "MISSING"))</f>
        <v/>
      </c>
      <c r="E7" t="str">
        <f t="shared" si="0"/>
        <v/>
      </c>
    </row>
    <row r="8" spans="1:5" x14ac:dyDescent="0.2">
      <c r="B8" t="str">
        <f>IF(A8="","",IF(COUNTIFS(Input!$A:$A, A8, Input!$B:$B, "Basis")&gt;0, "OK", "MISSING"))</f>
        <v/>
      </c>
      <c r="C8" t="str">
        <f>IF(A8="","",IF(COUNTIFS(Input!$A:$A, A8, Input!$B:$B, "GWE")&gt;0, "OK", "MISSING"))</f>
        <v/>
      </c>
      <c r="D8" t="str">
        <f>IF(A8="","",IF(COUNTIFS(Input!$A:$A, A8, Input!$B:$B, "Schoonmaak")&gt;0, "OK", "MISSING"))</f>
        <v/>
      </c>
      <c r="E8" t="str">
        <f t="shared" si="0"/>
        <v/>
      </c>
    </row>
    <row r="9" spans="1:5" x14ac:dyDescent="0.2">
      <c r="B9" t="str">
        <f>IF(A9="","",IF(COUNTIFS(Input!$A:$A, A9, Input!$B:$B, "Basis")&gt;0, "OK", "MISSING"))</f>
        <v/>
      </c>
      <c r="C9" t="str">
        <f>IF(A9="","",IF(COUNTIFS(Input!$A:$A, A9, Input!$B:$B, "GWE")&gt;0, "OK", "MISSING"))</f>
        <v/>
      </c>
      <c r="D9" t="str">
        <f>IF(A9="","",IF(COUNTIFS(Input!$A:$A, A9, Input!$B:$B, "Schoonmaak")&gt;0, "OK", "MISSING"))</f>
        <v/>
      </c>
      <c r="E9" t="str">
        <f t="shared" si="0"/>
        <v/>
      </c>
    </row>
    <row r="10" spans="1:5" x14ac:dyDescent="0.2">
      <c r="B10" t="str">
        <f>IF(A10="","",IF(COUNTIFS(Input!$A:$A, A10, Input!$B:$B, "Basis")&gt;0, "OK", "MISSING"))</f>
        <v/>
      </c>
      <c r="C10" t="str">
        <f>IF(A10="","",IF(COUNTIFS(Input!$A:$A, A10, Input!$B:$B, "GWE")&gt;0, "OK", "MISSING"))</f>
        <v/>
      </c>
      <c r="D10" t="str">
        <f>IF(A10="","",IF(COUNTIFS(Input!$A:$A, A10, Input!$B:$B, "Schoonmaak")&gt;0, "OK", "MISSING"))</f>
        <v/>
      </c>
      <c r="E10" t="str">
        <f t="shared" si="0"/>
        <v/>
      </c>
    </row>
    <row r="11" spans="1:5" x14ac:dyDescent="0.2">
      <c r="B11" t="str">
        <f>IF(A11="","",IF(COUNTIFS(Input!$A:$A, A11, Input!$B:$B, "Basis")&gt;0, "OK", "MISSING"))</f>
        <v/>
      </c>
      <c r="C11" t="str">
        <f>IF(A11="","",IF(COUNTIFS(Input!$A:$A, A11, Input!$B:$B, "GWE")&gt;0, "OK", "MISSING"))</f>
        <v/>
      </c>
      <c r="D11" t="str">
        <f>IF(A11="","",IF(COUNTIFS(Input!$A:$A, A11, Input!$B:$B, "Schoonmaak")&gt;0, "OK", "MISSING"))</f>
        <v/>
      </c>
      <c r="E11" t="str">
        <f t="shared" si="0"/>
        <v/>
      </c>
    </row>
    <row r="12" spans="1:5" x14ac:dyDescent="0.2">
      <c r="B12" t="str">
        <f>IF(A12="","",IF(COUNTIFS(Input!$A:$A, A12, Input!$B:$B, "Basis")&gt;0, "OK", "MISSING"))</f>
        <v/>
      </c>
      <c r="C12" t="str">
        <f>IF(A12="","",IF(COUNTIFS(Input!$A:$A, A12, Input!$B:$B, "GWE")&gt;0, "OK", "MISSING"))</f>
        <v/>
      </c>
      <c r="D12" t="str">
        <f>IF(A12="","",IF(COUNTIFS(Input!$A:$A, A12, Input!$B:$B, "Schoonmaak")&gt;0, "OK", "MISSING"))</f>
        <v/>
      </c>
      <c r="E12" t="str">
        <f t="shared" si="0"/>
        <v/>
      </c>
    </row>
    <row r="13" spans="1:5" x14ac:dyDescent="0.2">
      <c r="B13" t="str">
        <f>IF(A13="","",IF(COUNTIFS(Input!$A:$A, A13, Input!$B:$B, "Basis")&gt;0, "OK", "MISSING"))</f>
        <v/>
      </c>
      <c r="C13" t="str">
        <f>IF(A13="","",IF(COUNTIFS(Input!$A:$A, A13, Input!$B:$B, "GWE")&gt;0, "OK", "MISSING"))</f>
        <v/>
      </c>
      <c r="D13" t="str">
        <f>IF(A13="","",IF(COUNTIFS(Input!$A:$A, A13, Input!$B:$B, "Schoonmaak")&gt;0, "OK", "MISSING"))</f>
        <v/>
      </c>
      <c r="E13" t="str">
        <f t="shared" si="0"/>
        <v/>
      </c>
    </row>
    <row r="14" spans="1:5" x14ac:dyDescent="0.2">
      <c r="B14" t="str">
        <f>IF(A14="","",IF(COUNTIFS(Input!$A:$A, A14, Input!$B:$B, "Basis")&gt;0, "OK", "MISSING"))</f>
        <v/>
      </c>
      <c r="C14" t="str">
        <f>IF(A14="","",IF(COUNTIFS(Input!$A:$A, A14, Input!$B:$B, "GWE")&gt;0, "OK", "MISSING"))</f>
        <v/>
      </c>
      <c r="D14" t="str">
        <f>IF(A14="","",IF(COUNTIFS(Input!$A:$A, A14, Input!$B:$B, "Schoonmaak")&gt;0, "OK", "MISSING"))</f>
        <v/>
      </c>
      <c r="E14" t="str">
        <f t="shared" si="0"/>
        <v/>
      </c>
    </row>
    <row r="15" spans="1:5" x14ac:dyDescent="0.2">
      <c r="B15" t="str">
        <f>IF(A15="","",IF(COUNTIFS(Input!$A:$A, A15, Input!$B:$B, "Basis")&gt;0, "OK", "MISSING"))</f>
        <v/>
      </c>
      <c r="C15" t="str">
        <f>IF(A15="","",IF(COUNTIFS(Input!$A:$A, A15, Input!$B:$B, "GWE")&gt;0, "OK", "MISSING"))</f>
        <v/>
      </c>
      <c r="D15" t="str">
        <f>IF(A15="","",IF(COUNTIFS(Input!$A:$A, A15, Input!$B:$B, "Schoonmaak")&gt;0, "OK", "MISSING"))</f>
        <v/>
      </c>
      <c r="E15" t="str">
        <f t="shared" si="0"/>
        <v/>
      </c>
    </row>
    <row r="16" spans="1:5" x14ac:dyDescent="0.2">
      <c r="B16" t="str">
        <f>IF(A16="","",IF(COUNTIFS(Input!$A:$A, A16, Input!$B:$B, "Basis")&gt;0, "OK", "MISSING"))</f>
        <v/>
      </c>
      <c r="C16" t="str">
        <f>IF(A16="","",IF(COUNTIFS(Input!$A:$A, A16, Input!$B:$B, "GWE")&gt;0, "OK", "MISSING"))</f>
        <v/>
      </c>
      <c r="D16" t="str">
        <f>IF(A16="","",IF(COUNTIFS(Input!$A:$A, A16, Input!$B:$B, "Schoonmaak")&gt;0, "OK", "MISSING"))</f>
        <v/>
      </c>
      <c r="E16" t="str">
        <f t="shared" si="0"/>
        <v/>
      </c>
    </row>
    <row r="17" spans="2:5" x14ac:dyDescent="0.2">
      <c r="B17" t="str">
        <f>IF(A17="","",IF(COUNTIFS(Input!$A:$A, A17, Input!$B:$B, "Basis")&gt;0, "OK", "MISSING"))</f>
        <v/>
      </c>
      <c r="C17" t="str">
        <f>IF(A17="","",IF(COUNTIFS(Input!$A:$A, A17, Input!$B:$B, "GWE")&gt;0, "OK", "MISSING"))</f>
        <v/>
      </c>
      <c r="D17" t="str">
        <f>IF(A17="","",IF(COUNTIFS(Input!$A:$A, A17, Input!$B:$B, "Schoonmaak")&gt;0, "OK", "MISSING"))</f>
        <v/>
      </c>
      <c r="E17" t="str">
        <f t="shared" si="0"/>
        <v/>
      </c>
    </row>
    <row r="18" spans="2:5" x14ac:dyDescent="0.2">
      <c r="B18" t="str">
        <f>IF(A18="","",IF(COUNTIFS(Input!$A:$A, A18, Input!$B:$B, "Basis")&gt;0, "OK", "MISSING"))</f>
        <v/>
      </c>
      <c r="C18" t="str">
        <f>IF(A18="","",IF(COUNTIFS(Input!$A:$A, A18, Input!$B:$B, "GWE")&gt;0, "OK", "MISSING"))</f>
        <v/>
      </c>
      <c r="D18" t="str">
        <f>IF(A18="","",IF(COUNTIFS(Input!$A:$A, A18, Input!$B:$B, "Schoonmaak")&gt;0, "OK", "MISSING"))</f>
        <v/>
      </c>
      <c r="E18" t="str">
        <f t="shared" si="0"/>
        <v/>
      </c>
    </row>
    <row r="19" spans="2:5" x14ac:dyDescent="0.2">
      <c r="B19" t="str">
        <f>IF(A19="","",IF(COUNTIFS(Input!$A:$A, A19, Input!$B:$B, "Basis")&gt;0, "OK", "MISSING"))</f>
        <v/>
      </c>
      <c r="C19" t="str">
        <f>IF(A19="","",IF(COUNTIFS(Input!$A:$A, A19, Input!$B:$B, "GWE")&gt;0, "OK", "MISSING"))</f>
        <v/>
      </c>
      <c r="D19" t="str">
        <f>IF(A19="","",IF(COUNTIFS(Input!$A:$A, A19, Input!$B:$B, "Schoonmaak")&gt;0, "OK", "MISSING"))</f>
        <v/>
      </c>
      <c r="E19" t="str">
        <f t="shared" si="0"/>
        <v/>
      </c>
    </row>
    <row r="20" spans="2:5" x14ac:dyDescent="0.2">
      <c r="B20" t="str">
        <f>IF(A20="","",IF(COUNTIFS(Input!$A:$A, A20, Input!$B:$B, "Basis")&gt;0, "OK", "MISSING"))</f>
        <v/>
      </c>
      <c r="C20" t="str">
        <f>IF(A20="","",IF(COUNTIFS(Input!$A:$A, A20, Input!$B:$B, "GWE")&gt;0, "OK", "MISSING"))</f>
        <v/>
      </c>
      <c r="D20" t="str">
        <f>IF(A20="","",IF(COUNTIFS(Input!$A:$A, A20, Input!$B:$B, "Schoonmaak")&gt;0, "OK", "MISSING"))</f>
        <v/>
      </c>
      <c r="E20" t="str">
        <f t="shared" si="0"/>
        <v/>
      </c>
    </row>
    <row r="21" spans="2:5" x14ac:dyDescent="0.2">
      <c r="B21" t="str">
        <f>IF(A21="","",IF(COUNTIFS(Input!$A:$A, A21, Input!$B:$B, "Basis")&gt;0, "OK", "MISSING"))</f>
        <v/>
      </c>
      <c r="C21" t="str">
        <f>IF(A21="","",IF(COUNTIFS(Input!$A:$A, A21, Input!$B:$B, "GWE")&gt;0, "OK", "MISSING"))</f>
        <v/>
      </c>
      <c r="D21" t="str">
        <f>IF(A21="","",IF(COUNTIFS(Input!$A:$A, A21, Input!$B:$B, "Schoonmaak")&gt;0, "OK", "MISSING"))</f>
        <v/>
      </c>
      <c r="E21" t="str">
        <f t="shared" si="0"/>
        <v/>
      </c>
    </row>
    <row r="22" spans="2:5" x14ac:dyDescent="0.2">
      <c r="B22" t="str">
        <f>IF(A22="","",IF(COUNTIFS(Input!$A:$A, A22, Input!$B:$B, "Basis")&gt;0, "OK", "MISSING"))</f>
        <v/>
      </c>
      <c r="C22" t="str">
        <f>IF(A22="","",IF(COUNTIFS(Input!$A:$A, A22, Input!$B:$B, "GWE")&gt;0, "OK", "MISSING"))</f>
        <v/>
      </c>
      <c r="D22" t="str">
        <f>IF(A22="","",IF(COUNTIFS(Input!$A:$A, A22, Input!$B:$B, "Schoonmaak")&gt;0, "OK", "MISSING"))</f>
        <v/>
      </c>
      <c r="E22" t="str">
        <f t="shared" si="0"/>
        <v/>
      </c>
    </row>
    <row r="23" spans="2:5" x14ac:dyDescent="0.2">
      <c r="B23" t="str">
        <f>IF(A23="","",IF(COUNTIFS(Input!$A:$A, A23, Input!$B:$B, "Basis")&gt;0, "OK", "MISSING"))</f>
        <v/>
      </c>
      <c r="C23" t="str">
        <f>IF(A23="","",IF(COUNTIFS(Input!$A:$A, A23, Input!$B:$B, "GWE")&gt;0, "OK", "MISSING"))</f>
        <v/>
      </c>
      <c r="D23" t="str">
        <f>IF(A23="","",IF(COUNTIFS(Input!$A:$A, A23, Input!$B:$B, "Schoonmaak")&gt;0, "OK", "MISSING"))</f>
        <v/>
      </c>
      <c r="E23" t="str">
        <f t="shared" si="0"/>
        <v/>
      </c>
    </row>
    <row r="24" spans="2:5" x14ac:dyDescent="0.2">
      <c r="B24" t="str">
        <f>IF(A24="","",IF(COUNTIFS(Input!$A:$A, A24, Input!$B:$B, "Basis")&gt;0, "OK", "MISSING"))</f>
        <v/>
      </c>
      <c r="C24" t="str">
        <f>IF(A24="","",IF(COUNTIFS(Input!$A:$A, A24, Input!$B:$B, "GWE")&gt;0, "OK", "MISSING"))</f>
        <v/>
      </c>
      <c r="D24" t="str">
        <f>IF(A24="","",IF(COUNTIFS(Input!$A:$A, A24, Input!$B:$B, "Schoonmaak")&gt;0, "OK", "MISSING"))</f>
        <v/>
      </c>
      <c r="E24" t="str">
        <f t="shared" si="0"/>
        <v/>
      </c>
    </row>
    <row r="25" spans="2:5" x14ac:dyDescent="0.2">
      <c r="B25" t="str">
        <f>IF(A25="","",IF(COUNTIFS(Input!$A:$A, A25, Input!$B:$B, "Basis")&gt;0, "OK", "MISSING"))</f>
        <v/>
      </c>
      <c r="C25" t="str">
        <f>IF(A25="","",IF(COUNTIFS(Input!$A:$A, A25, Input!$B:$B, "GWE")&gt;0, "OK", "MISSING"))</f>
        <v/>
      </c>
      <c r="D25" t="str">
        <f>IF(A25="","",IF(COUNTIFS(Input!$A:$A, A25, Input!$B:$B, "Schoonmaak")&gt;0, "OK", "MISSING"))</f>
        <v/>
      </c>
      <c r="E25" t="str">
        <f t="shared" si="0"/>
        <v/>
      </c>
    </row>
    <row r="26" spans="2:5" x14ac:dyDescent="0.2">
      <c r="B26" t="str">
        <f>IF(A26="","",IF(COUNTIFS(Input!$A:$A, A26, Input!$B:$B, "Basis")&gt;0, "OK", "MISSING"))</f>
        <v/>
      </c>
      <c r="C26" t="str">
        <f>IF(A26="","",IF(COUNTIFS(Input!$A:$A, A26, Input!$B:$B, "GWE")&gt;0, "OK", "MISSING"))</f>
        <v/>
      </c>
      <c r="D26" t="str">
        <f>IF(A26="","",IF(COUNTIFS(Input!$A:$A, A26, Input!$B:$B, "Schoonmaak")&gt;0, "OK", "MISSING"))</f>
        <v/>
      </c>
      <c r="E26" t="str">
        <f t="shared" si="0"/>
        <v/>
      </c>
    </row>
    <row r="27" spans="2:5" x14ac:dyDescent="0.2">
      <c r="B27" t="str">
        <f>IF(A27="","",IF(COUNTIFS(Input!$A:$A, A27, Input!$B:$B, "Basis")&gt;0, "OK", "MISSING"))</f>
        <v/>
      </c>
      <c r="C27" t="str">
        <f>IF(A27="","",IF(COUNTIFS(Input!$A:$A, A27, Input!$B:$B, "GWE")&gt;0, "OK", "MISSING"))</f>
        <v/>
      </c>
      <c r="D27" t="str">
        <f>IF(A27="","",IF(COUNTIFS(Input!$A:$A, A27, Input!$B:$B, "Schoonmaak")&gt;0, "OK", "MISSING"))</f>
        <v/>
      </c>
      <c r="E27" t="str">
        <f t="shared" si="0"/>
        <v/>
      </c>
    </row>
    <row r="28" spans="2:5" x14ac:dyDescent="0.2">
      <c r="B28" t="str">
        <f>IF(A28="","",IF(COUNTIFS(Input!$A:$A, A28, Input!$B:$B, "Basis")&gt;0, "OK", "MISSING"))</f>
        <v/>
      </c>
      <c r="C28" t="str">
        <f>IF(A28="","",IF(COUNTIFS(Input!$A:$A, A28, Input!$B:$B, "GWE")&gt;0, "OK", "MISSING"))</f>
        <v/>
      </c>
      <c r="D28" t="str">
        <f>IF(A28="","",IF(COUNTIFS(Input!$A:$A, A28, Input!$B:$B, "Schoonmaak")&gt;0, "OK", "MISSING"))</f>
        <v/>
      </c>
      <c r="E28" t="str">
        <f t="shared" si="0"/>
        <v/>
      </c>
    </row>
    <row r="29" spans="2:5" x14ac:dyDescent="0.2">
      <c r="B29" t="str">
        <f>IF(A29="","",IF(COUNTIFS(Input!$A:$A, A29, Input!$B:$B, "Basis")&gt;0, "OK", "MISSING"))</f>
        <v/>
      </c>
      <c r="C29" t="str">
        <f>IF(A29="","",IF(COUNTIFS(Input!$A:$A, A29, Input!$B:$B, "GWE")&gt;0, "OK", "MISSING"))</f>
        <v/>
      </c>
      <c r="D29" t="str">
        <f>IF(A29="","",IF(COUNTIFS(Input!$A:$A, A29, Input!$B:$B, "Schoonmaak")&gt;0, "OK", "MISSING"))</f>
        <v/>
      </c>
      <c r="E29" t="str">
        <f t="shared" si="0"/>
        <v/>
      </c>
    </row>
    <row r="30" spans="2:5" x14ac:dyDescent="0.2">
      <c r="B30" t="str">
        <f>IF(A30="","",IF(COUNTIFS(Input!$A:$A, A30, Input!$B:$B, "Basis")&gt;0, "OK", "MISSING"))</f>
        <v/>
      </c>
      <c r="C30" t="str">
        <f>IF(A30="","",IF(COUNTIFS(Input!$A:$A, A30, Input!$B:$B, "GWE")&gt;0, "OK", "MISSING"))</f>
        <v/>
      </c>
      <c r="D30" t="str">
        <f>IF(A30="","",IF(COUNTIFS(Input!$A:$A, A30, Input!$B:$B, "Schoonmaak")&gt;0, "OK", "MISSING"))</f>
        <v/>
      </c>
      <c r="E30" t="str">
        <f t="shared" si="0"/>
        <v/>
      </c>
    </row>
    <row r="31" spans="2:5" x14ac:dyDescent="0.2">
      <c r="B31" t="str">
        <f>IF(A31="","",IF(COUNTIFS(Input!$A:$A, A31, Input!$B:$B, "Basis")&gt;0, "OK", "MISSING"))</f>
        <v/>
      </c>
      <c r="C31" t="str">
        <f>IF(A31="","",IF(COUNTIFS(Input!$A:$A, A31, Input!$B:$B, "GWE")&gt;0, "OK", "MISSING"))</f>
        <v/>
      </c>
      <c r="D31" t="str">
        <f>IF(A31="","",IF(COUNTIFS(Input!$A:$A, A31, Input!$B:$B, "Schoonmaak")&gt;0, "OK", "MISSING"))</f>
        <v/>
      </c>
      <c r="E31" t="str">
        <f t="shared" si="0"/>
        <v/>
      </c>
    </row>
    <row r="32" spans="2:5" x14ac:dyDescent="0.2">
      <c r="B32" t="str">
        <f>IF(A32="","",IF(COUNTIFS(Input!$A:$A, A32, Input!$B:$B, "Basis")&gt;0, "OK", "MISSING"))</f>
        <v/>
      </c>
      <c r="C32" t="str">
        <f>IF(A32="","",IF(COUNTIFS(Input!$A:$A, A32, Input!$B:$B, "GWE")&gt;0, "OK", "MISSING"))</f>
        <v/>
      </c>
      <c r="D32" t="str">
        <f>IF(A32="","",IF(COUNTIFS(Input!$A:$A, A32, Input!$B:$B, "Schoonmaak")&gt;0, "OK", "MISSING"))</f>
        <v/>
      </c>
      <c r="E32" t="str">
        <f t="shared" si="0"/>
        <v/>
      </c>
    </row>
    <row r="33" spans="2:5" x14ac:dyDescent="0.2">
      <c r="B33" t="str">
        <f>IF(A33="","",IF(COUNTIFS(Input!$A:$A, A33, Input!$B:$B, "Basis")&gt;0, "OK", "MISSING"))</f>
        <v/>
      </c>
      <c r="C33" t="str">
        <f>IF(A33="","",IF(COUNTIFS(Input!$A:$A, A33, Input!$B:$B, "GWE")&gt;0, "OK", "MISSING"))</f>
        <v/>
      </c>
      <c r="D33" t="str">
        <f>IF(A33="","",IF(COUNTIFS(Input!$A:$A, A33, Input!$B:$B, "Schoonmaak")&gt;0, "OK", "MISSING"))</f>
        <v/>
      </c>
      <c r="E33" t="str">
        <f t="shared" si="0"/>
        <v/>
      </c>
    </row>
    <row r="34" spans="2:5" x14ac:dyDescent="0.2">
      <c r="B34" t="str">
        <f>IF(A34="","",IF(COUNTIFS(Input!$A:$A, A34, Input!$B:$B, "Basis")&gt;0, "OK", "MISSING"))</f>
        <v/>
      </c>
      <c r="C34" t="str">
        <f>IF(A34="","",IF(COUNTIFS(Input!$A:$A, A34, Input!$B:$B, "GWE")&gt;0, "OK", "MISSING"))</f>
        <v/>
      </c>
      <c r="D34" t="str">
        <f>IF(A34="","",IF(COUNTIFS(Input!$A:$A, A34, Input!$B:$B, "Schoonmaak")&gt;0, "OK", "MISSING"))</f>
        <v/>
      </c>
      <c r="E34" t="str">
        <f t="shared" si="0"/>
        <v/>
      </c>
    </row>
    <row r="35" spans="2:5" x14ac:dyDescent="0.2">
      <c r="B35" t="str">
        <f>IF(A35="","",IF(COUNTIFS(Input!$A:$A, A35, Input!$B:$B, "Basis")&gt;0, "OK", "MISSING"))</f>
        <v/>
      </c>
      <c r="C35" t="str">
        <f>IF(A35="","",IF(COUNTIFS(Input!$A:$A, A35, Input!$B:$B, "GWE")&gt;0, "OK", "MISSING"))</f>
        <v/>
      </c>
      <c r="D35" t="str">
        <f>IF(A35="","",IF(COUNTIFS(Input!$A:$A, A35, Input!$B:$B, "Schoonmaak")&gt;0, "OK", "MISSING"))</f>
        <v/>
      </c>
      <c r="E35" t="str">
        <f t="shared" si="0"/>
        <v/>
      </c>
    </row>
    <row r="36" spans="2:5" x14ac:dyDescent="0.2">
      <c r="B36" t="str">
        <f>IF(A36="","",IF(COUNTIFS(Input!$A:$A, A36, Input!$B:$B, "Basis")&gt;0, "OK", "MISSING"))</f>
        <v/>
      </c>
      <c r="C36" t="str">
        <f>IF(A36="","",IF(COUNTIFS(Input!$A:$A, A36, Input!$B:$B, "GWE")&gt;0, "OK", "MISSING"))</f>
        <v/>
      </c>
      <c r="D36" t="str">
        <f>IF(A36="","",IF(COUNTIFS(Input!$A:$A, A36, Input!$B:$B, "Schoonmaak")&gt;0, "OK", "MISSING"))</f>
        <v/>
      </c>
      <c r="E36" t="str">
        <f t="shared" ref="E36:E67" si="1">IF(A36="","",IF(AND(B36="OK",C36="OK",D36="OK"), "✅ READY", "⚠️ INCOMPLETE"))</f>
        <v/>
      </c>
    </row>
    <row r="37" spans="2:5" x14ac:dyDescent="0.2">
      <c r="B37" t="str">
        <f>IF(A37="","",IF(COUNTIFS(Input!$A:$A, A37, Input!$B:$B, "Basis")&gt;0, "OK", "MISSING"))</f>
        <v/>
      </c>
      <c r="C37" t="str">
        <f>IF(A37="","",IF(COUNTIFS(Input!$A:$A, A37, Input!$B:$B, "GWE")&gt;0, "OK", "MISSING"))</f>
        <v/>
      </c>
      <c r="D37" t="str">
        <f>IF(A37="","",IF(COUNTIFS(Input!$A:$A, A37, Input!$B:$B, "Schoonmaak")&gt;0, "OK", "MISSING"))</f>
        <v/>
      </c>
      <c r="E37" t="str">
        <f t="shared" si="1"/>
        <v/>
      </c>
    </row>
    <row r="38" spans="2:5" x14ac:dyDescent="0.2">
      <c r="B38" t="str">
        <f>IF(A38="","",IF(COUNTIFS(Input!$A:$A, A38, Input!$B:$B, "Basis")&gt;0, "OK", "MISSING"))</f>
        <v/>
      </c>
      <c r="C38" t="str">
        <f>IF(A38="","",IF(COUNTIFS(Input!$A:$A, A38, Input!$B:$B, "GWE")&gt;0, "OK", "MISSING"))</f>
        <v/>
      </c>
      <c r="D38" t="str">
        <f>IF(A38="","",IF(COUNTIFS(Input!$A:$A, A38, Input!$B:$B, "Schoonmaak")&gt;0, "OK", "MISSING"))</f>
        <v/>
      </c>
      <c r="E38" t="str">
        <f t="shared" si="1"/>
        <v/>
      </c>
    </row>
    <row r="39" spans="2:5" x14ac:dyDescent="0.2">
      <c r="B39" t="str">
        <f>IF(A39="","",IF(COUNTIFS(Input!$A:$A, A39, Input!$B:$B, "Basis")&gt;0, "OK", "MISSING"))</f>
        <v/>
      </c>
      <c r="C39" t="str">
        <f>IF(A39="","",IF(COUNTIFS(Input!$A:$A, A39, Input!$B:$B, "GWE")&gt;0, "OK", "MISSING"))</f>
        <v/>
      </c>
      <c r="D39" t="str">
        <f>IF(A39="","",IF(COUNTIFS(Input!$A:$A, A39, Input!$B:$B, "Schoonmaak")&gt;0, "OK", "MISSING"))</f>
        <v/>
      </c>
      <c r="E39" t="str">
        <f t="shared" si="1"/>
        <v/>
      </c>
    </row>
    <row r="40" spans="2:5" x14ac:dyDescent="0.2">
      <c r="B40" t="str">
        <f>IF(A40="","",IF(COUNTIFS(Input!$A:$A, A40, Input!$B:$B, "Basis")&gt;0, "OK", "MISSING"))</f>
        <v/>
      </c>
      <c r="C40" t="str">
        <f>IF(A40="","",IF(COUNTIFS(Input!$A:$A, A40, Input!$B:$B, "GWE")&gt;0, "OK", "MISSING"))</f>
        <v/>
      </c>
      <c r="D40" t="str">
        <f>IF(A40="","",IF(COUNTIFS(Input!$A:$A, A40, Input!$B:$B, "Schoonmaak")&gt;0, "OK", "MISSING"))</f>
        <v/>
      </c>
      <c r="E40" t="str">
        <f t="shared" si="1"/>
        <v/>
      </c>
    </row>
    <row r="41" spans="2:5" x14ac:dyDescent="0.2">
      <c r="B41" t="str">
        <f>IF(A41="","",IF(COUNTIFS(Input!$A:$A, A41, Input!$B:$B, "Basis")&gt;0, "OK", "MISSING"))</f>
        <v/>
      </c>
      <c r="C41" t="str">
        <f>IF(A41="","",IF(COUNTIFS(Input!$A:$A, A41, Input!$B:$B, "GWE")&gt;0, "OK", "MISSING"))</f>
        <v/>
      </c>
      <c r="D41" t="str">
        <f>IF(A41="","",IF(COUNTIFS(Input!$A:$A, A41, Input!$B:$B, "Schoonmaak")&gt;0, "OK", "MISSING"))</f>
        <v/>
      </c>
      <c r="E41" t="str">
        <f t="shared" si="1"/>
        <v/>
      </c>
    </row>
    <row r="42" spans="2:5" x14ac:dyDescent="0.2">
      <c r="B42" t="str">
        <f>IF(A42="","",IF(COUNTIFS(Input!$A:$A, A42, Input!$B:$B, "Basis")&gt;0, "OK", "MISSING"))</f>
        <v/>
      </c>
      <c r="C42" t="str">
        <f>IF(A42="","",IF(COUNTIFS(Input!$A:$A, A42, Input!$B:$B, "GWE")&gt;0, "OK", "MISSING"))</f>
        <v/>
      </c>
      <c r="D42" t="str">
        <f>IF(A42="","",IF(COUNTIFS(Input!$A:$A, A42, Input!$B:$B, "Schoonmaak")&gt;0, "OK", "MISSING"))</f>
        <v/>
      </c>
      <c r="E42" t="str">
        <f t="shared" si="1"/>
        <v/>
      </c>
    </row>
    <row r="43" spans="2:5" x14ac:dyDescent="0.2">
      <c r="B43" t="str">
        <f>IF(A43="","",IF(COUNTIFS(Input!$A:$A, A43, Input!$B:$B, "Basis")&gt;0, "OK", "MISSING"))</f>
        <v/>
      </c>
      <c r="C43" t="str">
        <f>IF(A43="","",IF(COUNTIFS(Input!$A:$A, A43, Input!$B:$B, "GWE")&gt;0, "OK", "MISSING"))</f>
        <v/>
      </c>
      <c r="D43" t="str">
        <f>IF(A43="","",IF(COUNTIFS(Input!$A:$A, A43, Input!$B:$B, "Schoonmaak")&gt;0, "OK", "MISSING"))</f>
        <v/>
      </c>
      <c r="E43" t="str">
        <f t="shared" si="1"/>
        <v/>
      </c>
    </row>
    <row r="44" spans="2:5" x14ac:dyDescent="0.2">
      <c r="B44" t="str">
        <f>IF(A44="","",IF(COUNTIFS(Input!$A:$A, A44, Input!$B:$B, "Basis")&gt;0, "OK", "MISSING"))</f>
        <v/>
      </c>
      <c r="C44" t="str">
        <f>IF(A44="","",IF(COUNTIFS(Input!$A:$A, A44, Input!$B:$B, "GWE")&gt;0, "OK", "MISSING"))</f>
        <v/>
      </c>
      <c r="D44" t="str">
        <f>IF(A44="","",IF(COUNTIFS(Input!$A:$A, A44, Input!$B:$B, "Schoonmaak")&gt;0, "OK", "MISSING"))</f>
        <v/>
      </c>
      <c r="E44" t="str">
        <f t="shared" si="1"/>
        <v/>
      </c>
    </row>
    <row r="45" spans="2:5" x14ac:dyDescent="0.2">
      <c r="B45" t="str">
        <f>IF(A45="","",IF(COUNTIFS(Input!$A:$A, A45, Input!$B:$B, "Basis")&gt;0, "OK", "MISSING"))</f>
        <v/>
      </c>
      <c r="C45" t="str">
        <f>IF(A45="","",IF(COUNTIFS(Input!$A:$A, A45, Input!$B:$B, "GWE")&gt;0, "OK", "MISSING"))</f>
        <v/>
      </c>
      <c r="D45" t="str">
        <f>IF(A45="","",IF(COUNTIFS(Input!$A:$A, A45, Input!$B:$B, "Schoonmaak")&gt;0, "OK", "MISSING"))</f>
        <v/>
      </c>
      <c r="E45" t="str">
        <f t="shared" si="1"/>
        <v/>
      </c>
    </row>
    <row r="46" spans="2:5" x14ac:dyDescent="0.2">
      <c r="B46" t="str">
        <f>IF(A46="","",IF(COUNTIFS(Input!$A:$A, A46, Input!$B:$B, "Basis")&gt;0, "OK", "MISSING"))</f>
        <v/>
      </c>
      <c r="C46" t="str">
        <f>IF(A46="","",IF(COUNTIFS(Input!$A:$A, A46, Input!$B:$B, "GWE")&gt;0, "OK", "MISSING"))</f>
        <v/>
      </c>
      <c r="D46" t="str">
        <f>IF(A46="","",IF(COUNTIFS(Input!$A:$A, A46, Input!$B:$B, "Schoonmaak")&gt;0, "OK", "MISSING"))</f>
        <v/>
      </c>
      <c r="E46" t="str">
        <f t="shared" si="1"/>
        <v/>
      </c>
    </row>
    <row r="47" spans="2:5" x14ac:dyDescent="0.2">
      <c r="B47" t="str">
        <f>IF(A47="","",IF(COUNTIFS(Input!$A:$A, A47, Input!$B:$B, "Basis")&gt;0, "OK", "MISSING"))</f>
        <v/>
      </c>
      <c r="C47" t="str">
        <f>IF(A47="","",IF(COUNTIFS(Input!$A:$A, A47, Input!$B:$B, "GWE")&gt;0, "OK", "MISSING"))</f>
        <v/>
      </c>
      <c r="D47" t="str">
        <f>IF(A47="","",IF(COUNTIFS(Input!$A:$A, A47, Input!$B:$B, "Schoonmaak")&gt;0, "OK", "MISSING"))</f>
        <v/>
      </c>
      <c r="E47" t="str">
        <f t="shared" si="1"/>
        <v/>
      </c>
    </row>
    <row r="48" spans="2:5" x14ac:dyDescent="0.2">
      <c r="B48" t="str">
        <f>IF(A48="","",IF(COUNTIFS(Input!$A:$A, A48, Input!$B:$B, "Basis")&gt;0, "OK", "MISSING"))</f>
        <v/>
      </c>
      <c r="C48" t="str">
        <f>IF(A48="","",IF(COUNTIFS(Input!$A:$A, A48, Input!$B:$B, "GWE")&gt;0, "OK", "MISSING"))</f>
        <v/>
      </c>
      <c r="D48" t="str">
        <f>IF(A48="","",IF(COUNTIFS(Input!$A:$A, A48, Input!$B:$B, "Schoonmaak")&gt;0, "OK", "MISSING"))</f>
        <v/>
      </c>
      <c r="E48" t="str">
        <f t="shared" si="1"/>
        <v/>
      </c>
    </row>
    <row r="49" spans="2:5" x14ac:dyDescent="0.2">
      <c r="B49" t="str">
        <f>IF(A49="","",IF(COUNTIFS(Input!$A:$A, A49, Input!$B:$B, "Basis")&gt;0, "OK", "MISSING"))</f>
        <v/>
      </c>
      <c r="C49" t="str">
        <f>IF(A49="","",IF(COUNTIFS(Input!$A:$A, A49, Input!$B:$B, "GWE")&gt;0, "OK", "MISSING"))</f>
        <v/>
      </c>
      <c r="D49" t="str">
        <f>IF(A49="","",IF(COUNTIFS(Input!$A:$A, A49, Input!$B:$B, "Schoonmaak")&gt;0, "OK", "MISSING"))</f>
        <v/>
      </c>
      <c r="E49" t="str">
        <f t="shared" si="1"/>
        <v/>
      </c>
    </row>
    <row r="50" spans="2:5" x14ac:dyDescent="0.2">
      <c r="B50" t="str">
        <f>IF(A50="","",IF(COUNTIFS(Input!$A:$A, A50, Input!$B:$B, "Basis")&gt;0, "OK", "MISSING"))</f>
        <v/>
      </c>
      <c r="C50" t="str">
        <f>IF(A50="","",IF(COUNTIFS(Input!$A:$A, A50, Input!$B:$B, "GWE")&gt;0, "OK", "MISSING"))</f>
        <v/>
      </c>
      <c r="D50" t="str">
        <f>IF(A50="","",IF(COUNTIFS(Input!$A:$A, A50, Input!$B:$B, "Schoonmaak")&gt;0, "OK", "MISSING"))</f>
        <v/>
      </c>
      <c r="E50" t="str">
        <f t="shared" si="1"/>
        <v/>
      </c>
    </row>
    <row r="51" spans="2:5" x14ac:dyDescent="0.2">
      <c r="B51" t="str">
        <f>IF(A51="","",IF(COUNTIFS(Input!$A:$A, A51, Input!$B:$B, "Basis")&gt;0, "OK", "MISSING"))</f>
        <v/>
      </c>
      <c r="C51" t="str">
        <f>IF(A51="","",IF(COUNTIFS(Input!$A:$A, A51, Input!$B:$B, "GWE")&gt;0, "OK", "MISSING"))</f>
        <v/>
      </c>
      <c r="D51" t="str">
        <f>IF(A51="","",IF(COUNTIFS(Input!$A:$A, A51, Input!$B:$B, "Schoonmaak")&gt;0, "OK", "MISSING"))</f>
        <v/>
      </c>
      <c r="E51" t="str">
        <f t="shared" si="1"/>
        <v/>
      </c>
    </row>
    <row r="52" spans="2:5" x14ac:dyDescent="0.2">
      <c r="B52" t="str">
        <f>IF(A52="","",IF(COUNTIFS(Input!$A:$A, A52, Input!$B:$B, "Basis")&gt;0, "OK", "MISSING"))</f>
        <v/>
      </c>
      <c r="C52" t="str">
        <f>IF(A52="","",IF(COUNTIFS(Input!$A:$A, A52, Input!$B:$B, "GWE")&gt;0, "OK", "MISSING"))</f>
        <v/>
      </c>
      <c r="D52" t="str">
        <f>IF(A52="","",IF(COUNTIFS(Input!$A:$A, A52, Input!$B:$B, "Schoonmaak")&gt;0, "OK", "MISSING"))</f>
        <v/>
      </c>
      <c r="E52" t="str">
        <f t="shared" si="1"/>
        <v/>
      </c>
    </row>
    <row r="53" spans="2:5" x14ac:dyDescent="0.2">
      <c r="B53" t="str">
        <f>IF(A53="","",IF(COUNTIFS(Input!$A:$A, A53, Input!$B:$B, "Basis")&gt;0, "OK", "MISSING"))</f>
        <v/>
      </c>
      <c r="C53" t="str">
        <f>IF(A53="","",IF(COUNTIFS(Input!$A:$A, A53, Input!$B:$B, "GWE")&gt;0, "OK", "MISSING"))</f>
        <v/>
      </c>
      <c r="D53" t="str">
        <f>IF(A53="","",IF(COUNTIFS(Input!$A:$A, A53, Input!$B:$B, "Schoonmaak")&gt;0, "OK", "MISSING"))</f>
        <v/>
      </c>
      <c r="E53" t="str">
        <f t="shared" si="1"/>
        <v/>
      </c>
    </row>
  </sheetData>
  <conditionalFormatting sqref="B4:D54">
    <cfRule type="expression" dxfId="7" priority="3" stopIfTrue="1">
      <formula>B4="MISSING"</formula>
    </cfRule>
    <cfRule type="expression" dxfId="6" priority="4" stopIfTrue="1">
      <formula>B4="OK"</formula>
    </cfRule>
  </conditionalFormatting>
  <conditionalFormatting sqref="E4:E54">
    <cfRule type="expression" dxfId="5" priority="1" stopIfTrue="1">
      <formula>E4="✅ READY"</formula>
    </cfRule>
    <cfRule type="expression" dxfId="4" priority="2" stopIfTrue="1">
      <formula>E4="⚠️ INCOMPLETE"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201"/>
  <sheetViews>
    <sheetView tabSelected="1" workbookViewId="0">
      <pane xSplit="4" ySplit="1" topLeftCell="L5" activePane="bottomRight" state="frozen"/>
      <selection pane="topRight" activeCell="E1" sqref="E1"/>
      <selection pane="bottomLeft" activeCell="A2" sqref="A2"/>
      <selection pane="bottomRight" activeCell="T14" sqref="T14"/>
    </sheetView>
  </sheetViews>
  <sheetFormatPr baseColWidth="10" defaultColWidth="8.83203125" defaultRowHeight="15" x14ac:dyDescent="0.2"/>
  <cols>
    <col min="1" max="1" width="25" customWidth="1"/>
    <col min="2" max="2" width="15" customWidth="1"/>
    <col min="3" max="3" width="25" customWidth="1"/>
    <col min="4" max="6" width="15" customWidth="1"/>
    <col min="7" max="7" width="15" style="11" customWidth="1"/>
    <col min="8" max="23" width="15" customWidth="1"/>
    <col min="24" max="24" width="15" style="10" customWidth="1"/>
    <col min="25" max="28" width="15" customWidth="1"/>
    <col min="29" max="29" width="30" customWidth="1"/>
    <col min="30" max="32" width="15" customWidth="1"/>
    <col min="33" max="33" width="15" style="10" customWidth="1"/>
    <col min="34" max="35" width="15" customWidth="1"/>
  </cols>
  <sheetData>
    <row r="1" spans="1:35" x14ac:dyDescent="0.2">
      <c r="A1" s="3" t="s">
        <v>1</v>
      </c>
      <c r="B1" s="3" t="s">
        <v>6</v>
      </c>
      <c r="C1" s="3" t="s">
        <v>7</v>
      </c>
      <c r="D1" s="4" t="s">
        <v>8</v>
      </c>
      <c r="E1" s="4" t="s">
        <v>9</v>
      </c>
      <c r="F1" s="4" t="s">
        <v>10</v>
      </c>
      <c r="G1" s="14" t="s">
        <v>11</v>
      </c>
      <c r="H1" s="4" t="s">
        <v>12</v>
      </c>
      <c r="I1" s="4" t="s">
        <v>13</v>
      </c>
      <c r="J1" s="4" t="s">
        <v>14</v>
      </c>
      <c r="K1" s="4" t="s">
        <v>15</v>
      </c>
      <c r="L1" s="4" t="s">
        <v>16</v>
      </c>
      <c r="M1" s="4" t="s">
        <v>17</v>
      </c>
      <c r="N1" s="5" t="s">
        <v>18</v>
      </c>
      <c r="O1" s="5" t="s">
        <v>19</v>
      </c>
      <c r="P1" s="5" t="s">
        <v>20</v>
      </c>
      <c r="Q1" s="5" t="s">
        <v>21</v>
      </c>
      <c r="R1" s="5" t="s">
        <v>22</v>
      </c>
      <c r="S1" s="5" t="s">
        <v>23</v>
      </c>
      <c r="T1" s="6" t="s">
        <v>24</v>
      </c>
      <c r="U1" s="6" t="s">
        <v>25</v>
      </c>
      <c r="V1" s="6" t="s">
        <v>26</v>
      </c>
      <c r="W1" s="6" t="s">
        <v>27</v>
      </c>
      <c r="X1" s="9" t="s">
        <v>28</v>
      </c>
      <c r="Y1" s="6" t="s">
        <v>29</v>
      </c>
      <c r="Z1" s="6" t="s">
        <v>30</v>
      </c>
      <c r="AA1" s="7" t="s">
        <v>31</v>
      </c>
      <c r="AB1" s="7" t="s">
        <v>32</v>
      </c>
      <c r="AC1" s="7" t="s">
        <v>33</v>
      </c>
      <c r="AD1" s="7" t="s">
        <v>34</v>
      </c>
      <c r="AE1" s="7" t="s">
        <v>35</v>
      </c>
      <c r="AF1" s="7" t="s">
        <v>27</v>
      </c>
      <c r="AG1" s="9" t="s">
        <v>28</v>
      </c>
      <c r="AH1" s="6" t="s">
        <v>29</v>
      </c>
      <c r="AI1" s="7" t="s">
        <v>30</v>
      </c>
    </row>
    <row r="2" spans="1:35" x14ac:dyDescent="0.2">
      <c r="A2" t="s">
        <v>1005</v>
      </c>
      <c r="B2" t="s">
        <v>1191</v>
      </c>
      <c r="C2" t="s">
        <v>201</v>
      </c>
      <c r="D2" t="str">
        <f>IF(A2="","",VLOOKUP(A2,Lists!$A:$B,2,FALSE))</f>
        <v>0179</v>
      </c>
      <c r="N2">
        <v>13598</v>
      </c>
      <c r="O2">
        <v>16906</v>
      </c>
      <c r="P2">
        <v>11954</v>
      </c>
      <c r="Q2">
        <v>15360</v>
      </c>
      <c r="R2">
        <v>1128</v>
      </c>
      <c r="S2">
        <v>1313</v>
      </c>
      <c r="W2" s="8" t="str">
        <f t="shared" ref="W2:W33" si="0">IF(AND(U2&lt;&gt;"",V2&lt;&gt;""),U2*V2,"")</f>
        <v/>
      </c>
      <c r="Y2" s="8" t="str">
        <f t="shared" ref="Y2:Y33" si="1">IF(AND(W2&lt;&gt;"",X2&lt;&gt;""),W2*X2,"")</f>
        <v/>
      </c>
      <c r="Z2" s="8" t="str">
        <f t="shared" ref="Z2:Z33" si="2">IF(AND(W2&lt;&gt;"",Y2&lt;&gt;""),W2+Y2,"")</f>
        <v/>
      </c>
      <c r="AD2" t="str">
        <f t="shared" ref="AD2:AD33" si="3">IF($B2="GWE_Item",IF($AA2="Elektra",SUMIFS($O:$O,$A:$A,$A2,$B:$B,"GWE")-SUMIFS($N:$N,$A:$A,$A2,$B:$B,"GWE"),IF($AA2="Gas",SUMIFS($Q:$Q,$A:$A,$A2,$B:$B,"GWE")-SUMIFS($P:$P,$A:$A,$A2,$B:$B,"GWE"),IF($AA2="Water",SUMIFS($S:$S,$A:$A,$A2,$B:$B,"GWE")-SUMIFS($R:$R,$A:$A,$A2,$B:$B,"GWE"),""))),"")</f>
        <v/>
      </c>
      <c r="AF2" s="8" t="str">
        <f t="shared" ref="AF2:AF33" si="4">IF(AND(AD2&lt;&gt;"",AE2&lt;&gt;""),AD2*AE2,"")</f>
        <v/>
      </c>
      <c r="AH2" s="8" t="str">
        <f t="shared" ref="AH2:AH33" si="5">IF(AND(AF2&lt;&gt;"",AG2&lt;&gt;""),AF2*AG2,"")</f>
        <v/>
      </c>
      <c r="AI2" s="8" t="str">
        <f t="shared" ref="AI2:AI33" si="6">IF(AND(AF2&lt;&gt;"",AH2&lt;&gt;""),AF2+AH2,"")</f>
        <v/>
      </c>
    </row>
    <row r="3" spans="1:35" x14ac:dyDescent="0.2">
      <c r="A3" t="s">
        <v>1005</v>
      </c>
      <c r="B3" t="s">
        <v>1192</v>
      </c>
      <c r="C3" t="s">
        <v>201</v>
      </c>
      <c r="D3" t="str">
        <f>IF(A3="","",VLOOKUP(A3,Lists!$A:$B,2,FALSE))</f>
        <v>0179</v>
      </c>
      <c r="W3" s="8" t="str">
        <f t="shared" si="0"/>
        <v/>
      </c>
      <c r="Y3" s="8" t="str">
        <f t="shared" si="1"/>
        <v/>
      </c>
      <c r="Z3" s="8" t="str">
        <f t="shared" si="2"/>
        <v/>
      </c>
      <c r="AA3" t="s">
        <v>1193</v>
      </c>
      <c r="AB3" t="str">
        <f t="shared" ref="AB3:AB4" si="7">IF(AA3="Elektra","kWh",IF(AA3="Gas","m³",IF(AA3="Water","m³","")))</f>
        <v>m³</v>
      </c>
      <c r="AC3" t="s">
        <v>1194</v>
      </c>
      <c r="AD3">
        <f t="shared" si="3"/>
        <v>185</v>
      </c>
      <c r="AE3" s="12">
        <v>1.29</v>
      </c>
      <c r="AF3" s="8">
        <f t="shared" si="4"/>
        <v>238.65</v>
      </c>
      <c r="AG3" s="10">
        <v>0.09</v>
      </c>
      <c r="AH3" s="8">
        <f t="shared" si="5"/>
        <v>21.4785</v>
      </c>
      <c r="AI3" s="8">
        <f>IF(AND(AF3&lt;&gt;"",AH3&lt;&gt;""),AF3+AH3,"")</f>
        <v>260.12850000000003</v>
      </c>
    </row>
    <row r="4" spans="1:35" x14ac:dyDescent="0.2">
      <c r="A4" t="s">
        <v>1005</v>
      </c>
      <c r="B4" t="s">
        <v>1192</v>
      </c>
      <c r="C4" t="s">
        <v>201</v>
      </c>
      <c r="D4" t="str">
        <f>IF(A4="","",VLOOKUP(A4,Lists!$A:$B,2,FALSE))</f>
        <v>0179</v>
      </c>
      <c r="W4" s="8" t="str">
        <f t="shared" si="0"/>
        <v/>
      </c>
      <c r="Y4" s="8" t="str">
        <f t="shared" si="1"/>
        <v/>
      </c>
      <c r="Z4" s="8" t="str">
        <f t="shared" si="2"/>
        <v/>
      </c>
      <c r="AA4" t="s">
        <v>1193</v>
      </c>
      <c r="AB4" t="str">
        <f t="shared" si="7"/>
        <v>m³</v>
      </c>
      <c r="AC4" t="s">
        <v>1196</v>
      </c>
      <c r="AD4">
        <v>579</v>
      </c>
      <c r="AE4" s="12">
        <v>0.25474000000000002</v>
      </c>
      <c r="AF4" s="8">
        <f t="shared" si="4"/>
        <v>147.49446</v>
      </c>
      <c r="AG4" s="10">
        <v>0.09</v>
      </c>
      <c r="AH4" s="8">
        <f t="shared" si="5"/>
        <v>13.2745014</v>
      </c>
      <c r="AI4" s="8">
        <f t="shared" si="6"/>
        <v>160.76896139999999</v>
      </c>
    </row>
    <row r="5" spans="1:35" x14ac:dyDescent="0.2">
      <c r="A5" t="s">
        <v>1005</v>
      </c>
      <c r="B5" t="s">
        <v>1192</v>
      </c>
      <c r="C5" t="s">
        <v>201</v>
      </c>
      <c r="D5" t="str">
        <f>IF(A5="","",VLOOKUP(A5,Lists!$A:$B,2,FALSE))</f>
        <v>0179</v>
      </c>
      <c r="W5" s="8" t="str">
        <f t="shared" si="0"/>
        <v/>
      </c>
      <c r="Y5" s="8" t="str">
        <f t="shared" si="1"/>
        <v/>
      </c>
      <c r="Z5" s="8" t="str">
        <f t="shared" si="2"/>
        <v/>
      </c>
      <c r="AA5" t="s">
        <v>1193</v>
      </c>
      <c r="AB5" t="str">
        <f>IF(AA5="Elektra","kWh",IF(AA5="Gas","m³",IF(AA5="Water","m³","")))</f>
        <v>m³</v>
      </c>
      <c r="AC5" t="s">
        <v>1199</v>
      </c>
      <c r="AD5">
        <f t="shared" si="3"/>
        <v>185</v>
      </c>
      <c r="AE5" s="12">
        <v>0.45800000000000002</v>
      </c>
      <c r="AF5" s="8">
        <f t="shared" si="4"/>
        <v>84.73</v>
      </c>
      <c r="AG5" s="10">
        <v>0.09</v>
      </c>
      <c r="AH5" s="8">
        <f t="shared" si="5"/>
        <v>7.6257000000000001</v>
      </c>
      <c r="AI5" s="8">
        <f t="shared" si="6"/>
        <v>92.355699999999999</v>
      </c>
    </row>
    <row r="6" spans="1:35" x14ac:dyDescent="0.2">
      <c r="A6" t="s">
        <v>1005</v>
      </c>
      <c r="B6" t="s">
        <v>1192</v>
      </c>
      <c r="C6" t="s">
        <v>201</v>
      </c>
      <c r="D6" t="str">
        <f>IF(A6="","",VLOOKUP(A6,Lists!$A:$B,2,FALSE))</f>
        <v>0179</v>
      </c>
      <c r="W6" s="8" t="str">
        <f t="shared" si="0"/>
        <v/>
      </c>
      <c r="Y6" s="8" t="str">
        <f t="shared" si="1"/>
        <v/>
      </c>
      <c r="Z6" s="8" t="str">
        <f t="shared" si="2"/>
        <v/>
      </c>
      <c r="AA6" t="s">
        <v>1193</v>
      </c>
      <c r="AB6" t="str">
        <f t="shared" ref="AB6:AB13" si="8">IF(AA6="Elektra","kWh",IF(AA6="Gas","m³",IF(AA6="Water","m³","")))</f>
        <v>m³</v>
      </c>
      <c r="AC6" t="s">
        <v>1200</v>
      </c>
      <c r="AD6">
        <f t="shared" si="3"/>
        <v>185</v>
      </c>
      <c r="AE6" s="12">
        <v>9.2299999999999993E-2</v>
      </c>
      <c r="AF6" s="8">
        <f t="shared" si="4"/>
        <v>17.075499999999998</v>
      </c>
      <c r="AG6" s="10">
        <v>0.09</v>
      </c>
      <c r="AH6" s="8">
        <f t="shared" si="5"/>
        <v>1.5367949999999997</v>
      </c>
      <c r="AI6" s="8">
        <f t="shared" si="6"/>
        <v>18.612294999999996</v>
      </c>
    </row>
    <row r="7" spans="1:35" x14ac:dyDescent="0.2">
      <c r="A7" t="s">
        <v>1005</v>
      </c>
      <c r="B7" t="s">
        <v>1192</v>
      </c>
      <c r="C7" t="s">
        <v>201</v>
      </c>
      <c r="D7" t="str">
        <f>IF(A7="","",VLOOKUP(A7,Lists!$A:$B,2,FALSE))</f>
        <v>0179</v>
      </c>
      <c r="W7" s="8" t="str">
        <f t="shared" si="0"/>
        <v/>
      </c>
      <c r="Y7" s="8" t="str">
        <f t="shared" si="1"/>
        <v/>
      </c>
      <c r="Z7" s="8" t="str">
        <f t="shared" si="2"/>
        <v/>
      </c>
      <c r="AA7" t="s">
        <v>1197</v>
      </c>
      <c r="AB7" t="str">
        <f t="shared" si="8"/>
        <v>kWh</v>
      </c>
      <c r="AC7" t="s">
        <v>1201</v>
      </c>
      <c r="AD7">
        <f t="shared" si="3"/>
        <v>3308</v>
      </c>
      <c r="AE7" s="12">
        <v>0.274476</v>
      </c>
      <c r="AF7" s="8">
        <f t="shared" si="4"/>
        <v>907.96660799999995</v>
      </c>
      <c r="AG7" s="10">
        <v>0.21</v>
      </c>
      <c r="AH7" s="8">
        <f t="shared" si="5"/>
        <v>190.67298767999998</v>
      </c>
      <c r="AI7" s="8">
        <f t="shared" si="6"/>
        <v>1098.63959568</v>
      </c>
    </row>
    <row r="8" spans="1:35" x14ac:dyDescent="0.2">
      <c r="A8" t="s">
        <v>1005</v>
      </c>
      <c r="B8" t="s">
        <v>1192</v>
      </c>
      <c r="C8" t="s">
        <v>201</v>
      </c>
      <c r="D8" t="str">
        <f>IF(A8="","",VLOOKUP(A8,Lists!$A:$B,2,FALSE))</f>
        <v>0179</v>
      </c>
      <c r="W8" s="8" t="str">
        <f t="shared" si="0"/>
        <v/>
      </c>
      <c r="Y8" s="8" t="str">
        <f t="shared" si="1"/>
        <v/>
      </c>
      <c r="Z8" s="8" t="str">
        <f t="shared" si="2"/>
        <v/>
      </c>
      <c r="AA8" t="s">
        <v>1197</v>
      </c>
      <c r="AB8" t="s">
        <v>1195</v>
      </c>
      <c r="AC8" t="s">
        <v>1202</v>
      </c>
      <c r="AD8">
        <v>579</v>
      </c>
      <c r="AE8" s="12">
        <v>0.39780799999999999</v>
      </c>
      <c r="AF8" s="8">
        <f>IF(AND(AD8&lt;&gt;"",AE8&lt;&gt;""),AD8*AE8,"")</f>
        <v>230.33083199999999</v>
      </c>
      <c r="AG8" s="10">
        <v>0.21</v>
      </c>
      <c r="AH8" s="8">
        <f t="shared" si="5"/>
        <v>48.369474719999992</v>
      </c>
      <c r="AI8" s="8">
        <f t="shared" si="6"/>
        <v>278.70030671999996</v>
      </c>
    </row>
    <row r="9" spans="1:35" x14ac:dyDescent="0.2">
      <c r="A9" t="s">
        <v>1005</v>
      </c>
      <c r="B9" t="s">
        <v>1192</v>
      </c>
      <c r="C9" t="s">
        <v>201</v>
      </c>
      <c r="D9" t="str">
        <f>IF(A9="","",VLOOKUP(A9,Lists!$A:$B,2,FALSE))</f>
        <v>0179</v>
      </c>
      <c r="W9" s="8" t="str">
        <f t="shared" si="0"/>
        <v/>
      </c>
      <c r="Y9" s="8" t="str">
        <f t="shared" si="1"/>
        <v/>
      </c>
      <c r="Z9" s="8" t="str">
        <f t="shared" si="2"/>
        <v/>
      </c>
      <c r="AA9" t="s">
        <v>1197</v>
      </c>
      <c r="AB9" t="s">
        <v>1195</v>
      </c>
      <c r="AC9" t="s">
        <v>1203</v>
      </c>
      <c r="AD9">
        <v>579</v>
      </c>
      <c r="AE9" s="12">
        <v>-1.740245</v>
      </c>
      <c r="AF9" s="8">
        <f t="shared" si="4"/>
        <v>-1007.601855</v>
      </c>
      <c r="AG9" s="10">
        <v>0.21</v>
      </c>
      <c r="AH9" s="8">
        <f t="shared" si="5"/>
        <v>-211.59638955</v>
      </c>
      <c r="AI9" s="8">
        <f t="shared" si="6"/>
        <v>-1219.19824455</v>
      </c>
    </row>
    <row r="10" spans="1:35" x14ac:dyDescent="0.2">
      <c r="A10" t="s">
        <v>1005</v>
      </c>
      <c r="B10" t="s">
        <v>1192</v>
      </c>
      <c r="C10" t="s">
        <v>201</v>
      </c>
      <c r="D10" t="str">
        <f>IF(A10="","",VLOOKUP(A10,Lists!$A:$B,2,FALSE))</f>
        <v>0179</v>
      </c>
      <c r="W10" s="8" t="str">
        <f t="shared" si="0"/>
        <v/>
      </c>
      <c r="Y10" s="8" t="str">
        <f t="shared" si="1"/>
        <v/>
      </c>
      <c r="Z10" s="8" t="str">
        <f t="shared" si="2"/>
        <v/>
      </c>
      <c r="AA10" t="s">
        <v>1197</v>
      </c>
      <c r="AB10" t="s">
        <v>1195</v>
      </c>
      <c r="AC10" t="s">
        <v>1204</v>
      </c>
      <c r="AD10">
        <v>579</v>
      </c>
      <c r="AE10" s="12">
        <v>1.3038959999999999</v>
      </c>
      <c r="AF10" s="8">
        <f t="shared" si="4"/>
        <v>754.95578399999999</v>
      </c>
      <c r="AG10" s="10">
        <v>0.21</v>
      </c>
      <c r="AH10" s="8">
        <f t="shared" si="5"/>
        <v>158.54071464</v>
      </c>
      <c r="AI10" s="8">
        <f t="shared" si="6"/>
        <v>913.49649864000003</v>
      </c>
    </row>
    <row r="11" spans="1:35" x14ac:dyDescent="0.2">
      <c r="A11" t="s">
        <v>1005</v>
      </c>
      <c r="B11" t="s">
        <v>1192</v>
      </c>
      <c r="C11" t="s">
        <v>201</v>
      </c>
      <c r="D11" t="str">
        <f>IF(A11="","",VLOOKUP(A11,Lists!$A:$B,2,FALSE))</f>
        <v>0179</v>
      </c>
      <c r="W11" s="8" t="str">
        <f t="shared" si="0"/>
        <v/>
      </c>
      <c r="Y11" s="8" t="str">
        <f t="shared" si="1"/>
        <v/>
      </c>
      <c r="Z11" s="8" t="str">
        <f t="shared" si="2"/>
        <v/>
      </c>
      <c r="AA11" t="s">
        <v>1198</v>
      </c>
      <c r="AB11" t="str">
        <f t="shared" si="8"/>
        <v>m³</v>
      </c>
      <c r="AC11" t="s">
        <v>1205</v>
      </c>
      <c r="AD11">
        <f t="shared" si="3"/>
        <v>3406</v>
      </c>
      <c r="AE11" s="12">
        <v>1.287755</v>
      </c>
      <c r="AF11" s="8">
        <f t="shared" si="4"/>
        <v>4386.0935300000001</v>
      </c>
      <c r="AG11" s="10">
        <v>0.21</v>
      </c>
      <c r="AH11" s="8">
        <f t="shared" si="5"/>
        <v>921.07964129999993</v>
      </c>
      <c r="AI11" s="8">
        <f t="shared" si="6"/>
        <v>5307.1731712999999</v>
      </c>
    </row>
    <row r="12" spans="1:35" x14ac:dyDescent="0.2">
      <c r="A12" t="s">
        <v>1005</v>
      </c>
      <c r="B12" t="s">
        <v>1192</v>
      </c>
      <c r="C12" t="s">
        <v>201</v>
      </c>
      <c r="D12" t="str">
        <f>IF(A12="","",VLOOKUP(A12,Lists!$A:$B,2,FALSE))</f>
        <v>0179</v>
      </c>
      <c r="W12" s="8" t="str">
        <f t="shared" si="0"/>
        <v/>
      </c>
      <c r="Y12" s="8" t="str">
        <f t="shared" si="1"/>
        <v/>
      </c>
      <c r="Z12" s="8" t="str">
        <f t="shared" si="2"/>
        <v/>
      </c>
      <c r="AA12" t="s">
        <v>1198</v>
      </c>
      <c r="AB12" t="s">
        <v>1195</v>
      </c>
      <c r="AC12" t="s">
        <v>1206</v>
      </c>
      <c r="AD12">
        <v>579</v>
      </c>
      <c r="AE12" s="12">
        <v>0.29835600000000001</v>
      </c>
      <c r="AF12" s="8">
        <f t="shared" si="4"/>
        <v>172.74812400000002</v>
      </c>
      <c r="AG12" s="10">
        <v>0.21</v>
      </c>
      <c r="AH12" s="8">
        <f t="shared" si="5"/>
        <v>36.27710604</v>
      </c>
      <c r="AI12" s="8">
        <f t="shared" si="6"/>
        <v>209.02523004000003</v>
      </c>
    </row>
    <row r="13" spans="1:35" x14ac:dyDescent="0.2">
      <c r="A13" t="s">
        <v>1005</v>
      </c>
      <c r="B13" t="s">
        <v>1192</v>
      </c>
      <c r="C13" t="s">
        <v>201</v>
      </c>
      <c r="D13" t="str">
        <f>IF(A13="","",VLOOKUP(A13,Lists!$A:$B,2,FALSE))</f>
        <v>0179</v>
      </c>
      <c r="W13" s="8" t="str">
        <f t="shared" si="0"/>
        <v/>
      </c>
      <c r="Y13" s="8" t="str">
        <f t="shared" si="1"/>
        <v/>
      </c>
      <c r="Z13" s="8" t="str">
        <f t="shared" si="2"/>
        <v/>
      </c>
      <c r="AA13" t="s">
        <v>1198</v>
      </c>
      <c r="AB13" t="s">
        <v>1195</v>
      </c>
      <c r="AC13" t="s">
        <v>1207</v>
      </c>
      <c r="AD13">
        <v>579</v>
      </c>
      <c r="AE13" s="12">
        <v>0.67421200000000003</v>
      </c>
      <c r="AF13" s="8">
        <f t="shared" si="4"/>
        <v>390.36874800000004</v>
      </c>
      <c r="AG13" s="10">
        <v>0.21</v>
      </c>
      <c r="AH13" s="8">
        <f t="shared" si="5"/>
        <v>81.977437080000001</v>
      </c>
      <c r="AI13" s="8">
        <f t="shared" si="6"/>
        <v>472.34618508000005</v>
      </c>
    </row>
    <row r="14" spans="1:35" x14ac:dyDescent="0.2">
      <c r="A14" t="s">
        <v>1005</v>
      </c>
      <c r="B14" t="s">
        <v>1208</v>
      </c>
      <c r="C14" t="s">
        <v>201</v>
      </c>
      <c r="D14" t="str">
        <f>IF(A14="","",VLOOKUP(A14,Lists!$A:$B,2,FALSE))</f>
        <v>0179</v>
      </c>
      <c r="T14" t="s">
        <v>1212</v>
      </c>
      <c r="U14">
        <v>7</v>
      </c>
      <c r="V14">
        <v>50</v>
      </c>
      <c r="W14" s="8">
        <f t="shared" si="0"/>
        <v>350</v>
      </c>
      <c r="X14" s="10">
        <v>0.21</v>
      </c>
      <c r="Y14" s="8">
        <f t="shared" si="1"/>
        <v>73.5</v>
      </c>
      <c r="Z14" s="8">
        <f t="shared" si="2"/>
        <v>423.5</v>
      </c>
      <c r="AD14" t="str">
        <f t="shared" si="3"/>
        <v/>
      </c>
      <c r="AF14" s="8" t="str">
        <f t="shared" si="4"/>
        <v/>
      </c>
      <c r="AH14" s="8" t="str">
        <f t="shared" si="5"/>
        <v/>
      </c>
      <c r="AI14" s="8" t="str">
        <f t="shared" si="6"/>
        <v/>
      </c>
    </row>
    <row r="15" spans="1:35" x14ac:dyDescent="0.2">
      <c r="A15" t="s">
        <v>1005</v>
      </c>
      <c r="B15" t="s">
        <v>1209</v>
      </c>
      <c r="C15" t="s">
        <v>201</v>
      </c>
      <c r="D15" t="str">
        <f>IF(A15="","",VLOOKUP(A15,Lists!$A:$B,2,FALSE))</f>
        <v>0179</v>
      </c>
      <c r="E15" s="13">
        <v>45382</v>
      </c>
      <c r="F15" s="13">
        <v>45961</v>
      </c>
      <c r="G15" s="11">
        <v>3100</v>
      </c>
      <c r="H15" t="s">
        <v>1210</v>
      </c>
      <c r="I15" t="s">
        <v>1211</v>
      </c>
      <c r="J15" t="s">
        <v>1211</v>
      </c>
      <c r="W15" s="8" t="str">
        <f t="shared" si="0"/>
        <v/>
      </c>
      <c r="Y15" s="8" t="str">
        <f t="shared" si="1"/>
        <v/>
      </c>
      <c r="Z15" s="8" t="str">
        <f t="shared" si="2"/>
        <v/>
      </c>
      <c r="AD15" t="str">
        <f t="shared" si="3"/>
        <v/>
      </c>
      <c r="AF15" s="8" t="str">
        <f t="shared" si="4"/>
        <v/>
      </c>
      <c r="AH15" s="8" t="str">
        <f t="shared" si="5"/>
        <v/>
      </c>
      <c r="AI15" s="8" t="str">
        <f t="shared" si="6"/>
        <v/>
      </c>
    </row>
    <row r="16" spans="1:35" x14ac:dyDescent="0.2">
      <c r="A16" t="s">
        <v>47</v>
      </c>
      <c r="B16" t="s">
        <v>1209</v>
      </c>
      <c r="C16" t="s">
        <v>57</v>
      </c>
      <c r="D16" t="str">
        <f>IF(A16="","",VLOOKUP(A16,Lists!$A:$B,2,FALSE))</f>
        <v>0150</v>
      </c>
      <c r="W16" s="8" t="str">
        <f t="shared" si="0"/>
        <v/>
      </c>
      <c r="Y16" s="8" t="str">
        <f t="shared" si="1"/>
        <v/>
      </c>
      <c r="Z16" s="8" t="str">
        <f t="shared" si="2"/>
        <v/>
      </c>
      <c r="AD16" t="str">
        <f t="shared" si="3"/>
        <v/>
      </c>
      <c r="AF16" s="8" t="str">
        <f t="shared" si="4"/>
        <v/>
      </c>
      <c r="AH16" s="8" t="str">
        <f t="shared" si="5"/>
        <v/>
      </c>
      <c r="AI16" s="8" t="str">
        <f t="shared" si="6"/>
        <v/>
      </c>
    </row>
    <row r="17" spans="1:35" x14ac:dyDescent="0.2">
      <c r="A17" t="s">
        <v>47</v>
      </c>
      <c r="D17" t="str">
        <f>IF(A17="","",VLOOKUP(A17,Lists!$A:$B,2,FALSE))</f>
        <v>0150</v>
      </c>
      <c r="W17" s="8" t="str">
        <f t="shared" si="0"/>
        <v/>
      </c>
      <c r="Y17" s="8" t="str">
        <f t="shared" si="1"/>
        <v/>
      </c>
      <c r="Z17" s="8" t="str">
        <f t="shared" si="2"/>
        <v/>
      </c>
      <c r="AD17" t="str">
        <f t="shared" si="3"/>
        <v/>
      </c>
      <c r="AF17" s="8" t="str">
        <f t="shared" si="4"/>
        <v/>
      </c>
      <c r="AH17" s="8" t="str">
        <f t="shared" si="5"/>
        <v/>
      </c>
      <c r="AI17" s="8" t="str">
        <f t="shared" si="6"/>
        <v/>
      </c>
    </row>
    <row r="18" spans="1:35" x14ac:dyDescent="0.2">
      <c r="A18" t="s">
        <v>47</v>
      </c>
      <c r="D18" t="str">
        <f>IF(A18="","",VLOOKUP(A18,Lists!$A:$B,2,FALSE))</f>
        <v>0150</v>
      </c>
      <c r="W18" s="8" t="str">
        <f t="shared" si="0"/>
        <v/>
      </c>
      <c r="Y18" s="8" t="str">
        <f t="shared" si="1"/>
        <v/>
      </c>
      <c r="Z18" s="8" t="str">
        <f t="shared" si="2"/>
        <v/>
      </c>
      <c r="AD18" t="str">
        <f t="shared" si="3"/>
        <v/>
      </c>
      <c r="AF18" s="8" t="str">
        <f t="shared" si="4"/>
        <v/>
      </c>
      <c r="AH18" s="8" t="str">
        <f t="shared" si="5"/>
        <v/>
      </c>
      <c r="AI18" s="8" t="str">
        <f t="shared" si="6"/>
        <v/>
      </c>
    </row>
    <row r="19" spans="1:35" x14ac:dyDescent="0.2">
      <c r="A19" t="s">
        <v>47</v>
      </c>
      <c r="D19" t="str">
        <f>IF(A19="","",VLOOKUP(A19,Lists!$A:$B,2,FALSE))</f>
        <v>0150</v>
      </c>
      <c r="W19" s="8" t="str">
        <f t="shared" si="0"/>
        <v/>
      </c>
      <c r="Y19" s="8" t="str">
        <f t="shared" si="1"/>
        <v/>
      </c>
      <c r="Z19" s="8" t="str">
        <f t="shared" si="2"/>
        <v/>
      </c>
      <c r="AD19" t="str">
        <f t="shared" si="3"/>
        <v/>
      </c>
      <c r="AF19" s="8" t="str">
        <f t="shared" si="4"/>
        <v/>
      </c>
      <c r="AH19" s="8" t="str">
        <f t="shared" si="5"/>
        <v/>
      </c>
      <c r="AI19" s="8" t="str">
        <f t="shared" si="6"/>
        <v/>
      </c>
    </row>
    <row r="20" spans="1:35" x14ac:dyDescent="0.2">
      <c r="A20" t="s">
        <v>47</v>
      </c>
      <c r="D20" t="str">
        <f>IF(A20="","",VLOOKUP(A20,Lists!$A:$B,2,FALSE))</f>
        <v>0150</v>
      </c>
      <c r="W20" s="8" t="str">
        <f t="shared" si="0"/>
        <v/>
      </c>
      <c r="Y20" s="8" t="str">
        <f t="shared" si="1"/>
        <v/>
      </c>
      <c r="Z20" s="8" t="str">
        <f t="shared" si="2"/>
        <v/>
      </c>
      <c r="AD20" t="str">
        <f t="shared" si="3"/>
        <v/>
      </c>
      <c r="AF20" s="8" t="str">
        <f t="shared" si="4"/>
        <v/>
      </c>
      <c r="AH20" s="8" t="str">
        <f t="shared" si="5"/>
        <v/>
      </c>
      <c r="AI20" s="8" t="str">
        <f t="shared" si="6"/>
        <v/>
      </c>
    </row>
    <row r="21" spans="1:35" x14ac:dyDescent="0.2">
      <c r="A21" t="s">
        <v>47</v>
      </c>
      <c r="D21" t="str">
        <f>IF(A21="","",VLOOKUP(A21,Lists!$A:$B,2,FALSE))</f>
        <v>0150</v>
      </c>
      <c r="W21" s="8" t="str">
        <f t="shared" si="0"/>
        <v/>
      </c>
      <c r="Y21" s="8" t="str">
        <f t="shared" si="1"/>
        <v/>
      </c>
      <c r="Z21" s="8" t="str">
        <f t="shared" si="2"/>
        <v/>
      </c>
      <c r="AD21" t="str">
        <f t="shared" si="3"/>
        <v/>
      </c>
      <c r="AF21" s="8" t="str">
        <f t="shared" si="4"/>
        <v/>
      </c>
      <c r="AH21" s="8" t="str">
        <f t="shared" si="5"/>
        <v/>
      </c>
      <c r="AI21" s="8" t="str">
        <f t="shared" si="6"/>
        <v/>
      </c>
    </row>
    <row r="22" spans="1:35" x14ac:dyDescent="0.2">
      <c r="A22" t="s">
        <v>47</v>
      </c>
      <c r="D22" t="str">
        <f>IF(A22="","",VLOOKUP(A22,Lists!$A:$B,2,FALSE))</f>
        <v>0150</v>
      </c>
      <c r="W22" s="8" t="str">
        <f t="shared" si="0"/>
        <v/>
      </c>
      <c r="Y22" s="8" t="str">
        <f t="shared" si="1"/>
        <v/>
      </c>
      <c r="Z22" s="8" t="str">
        <f t="shared" si="2"/>
        <v/>
      </c>
      <c r="AD22" t="str">
        <f t="shared" si="3"/>
        <v/>
      </c>
      <c r="AF22" s="8" t="str">
        <f t="shared" si="4"/>
        <v/>
      </c>
      <c r="AH22" s="8" t="str">
        <f t="shared" si="5"/>
        <v/>
      </c>
      <c r="AI22" s="8" t="str">
        <f t="shared" si="6"/>
        <v/>
      </c>
    </row>
    <row r="23" spans="1:35" x14ac:dyDescent="0.2">
      <c r="A23" t="s">
        <v>47</v>
      </c>
      <c r="D23" t="str">
        <f>IF(A23="","",VLOOKUP(A23,Lists!$A:$B,2,FALSE))</f>
        <v>0150</v>
      </c>
      <c r="W23" s="8" t="str">
        <f t="shared" si="0"/>
        <v/>
      </c>
      <c r="Y23" s="8" t="str">
        <f t="shared" si="1"/>
        <v/>
      </c>
      <c r="Z23" s="8" t="str">
        <f t="shared" si="2"/>
        <v/>
      </c>
      <c r="AD23" t="str">
        <f t="shared" si="3"/>
        <v/>
      </c>
      <c r="AF23" s="8" t="str">
        <f t="shared" si="4"/>
        <v/>
      </c>
      <c r="AH23" s="8" t="str">
        <f t="shared" si="5"/>
        <v/>
      </c>
      <c r="AI23" s="8" t="str">
        <f t="shared" si="6"/>
        <v/>
      </c>
    </row>
    <row r="24" spans="1:35" x14ac:dyDescent="0.2">
      <c r="A24" t="s">
        <v>47</v>
      </c>
      <c r="D24" t="str">
        <f>IF(A24="","",VLOOKUP(A24,Lists!$A:$B,2,FALSE))</f>
        <v>0150</v>
      </c>
      <c r="W24" s="8" t="str">
        <f t="shared" si="0"/>
        <v/>
      </c>
      <c r="Y24" s="8" t="str">
        <f t="shared" si="1"/>
        <v/>
      </c>
      <c r="Z24" s="8" t="str">
        <f t="shared" si="2"/>
        <v/>
      </c>
      <c r="AD24" t="str">
        <f t="shared" si="3"/>
        <v/>
      </c>
      <c r="AF24" s="8" t="str">
        <f t="shared" si="4"/>
        <v/>
      </c>
      <c r="AH24" s="8" t="str">
        <f t="shared" si="5"/>
        <v/>
      </c>
      <c r="AI24" s="8" t="str">
        <f t="shared" si="6"/>
        <v/>
      </c>
    </row>
    <row r="25" spans="1:35" x14ac:dyDescent="0.2">
      <c r="A25" t="s">
        <v>47</v>
      </c>
      <c r="D25" t="str">
        <f>IF(A25="","",VLOOKUP(A25,Lists!$A:$B,2,FALSE))</f>
        <v>0150</v>
      </c>
      <c r="W25" s="8" t="str">
        <f t="shared" si="0"/>
        <v/>
      </c>
      <c r="Y25" s="8" t="str">
        <f t="shared" si="1"/>
        <v/>
      </c>
      <c r="Z25" s="8" t="str">
        <f t="shared" si="2"/>
        <v/>
      </c>
      <c r="AD25" t="str">
        <f t="shared" si="3"/>
        <v/>
      </c>
      <c r="AF25" s="8" t="str">
        <f t="shared" si="4"/>
        <v/>
      </c>
      <c r="AH25" s="8" t="str">
        <f t="shared" si="5"/>
        <v/>
      </c>
      <c r="AI25" s="8" t="str">
        <f t="shared" si="6"/>
        <v/>
      </c>
    </row>
    <row r="26" spans="1:35" x14ac:dyDescent="0.2">
      <c r="A26" t="s">
        <v>47</v>
      </c>
      <c r="D26" t="str">
        <f>IF(A26="","",VLOOKUP(A26,Lists!$A:$B,2,FALSE))</f>
        <v>0150</v>
      </c>
      <c r="W26" s="8" t="str">
        <f t="shared" si="0"/>
        <v/>
      </c>
      <c r="Y26" s="8" t="str">
        <f t="shared" si="1"/>
        <v/>
      </c>
      <c r="Z26" s="8" t="str">
        <f t="shared" si="2"/>
        <v/>
      </c>
      <c r="AD26" t="str">
        <f t="shared" si="3"/>
        <v/>
      </c>
      <c r="AF26" s="8" t="str">
        <f t="shared" si="4"/>
        <v/>
      </c>
      <c r="AH26" s="8" t="str">
        <f t="shared" si="5"/>
        <v/>
      </c>
      <c r="AI26" s="8" t="str">
        <f t="shared" si="6"/>
        <v/>
      </c>
    </row>
    <row r="27" spans="1:35" x14ac:dyDescent="0.2">
      <c r="A27" t="s">
        <v>47</v>
      </c>
      <c r="D27" t="str">
        <f>IF(A27="","",VLOOKUP(A27,Lists!$A:$B,2,FALSE))</f>
        <v>0150</v>
      </c>
      <c r="W27" s="8" t="str">
        <f t="shared" si="0"/>
        <v/>
      </c>
      <c r="Y27" s="8" t="str">
        <f t="shared" si="1"/>
        <v/>
      </c>
      <c r="Z27" s="8" t="str">
        <f t="shared" si="2"/>
        <v/>
      </c>
      <c r="AD27" t="str">
        <f t="shared" si="3"/>
        <v/>
      </c>
      <c r="AF27" s="8" t="str">
        <f t="shared" si="4"/>
        <v/>
      </c>
      <c r="AH27" s="8" t="str">
        <f t="shared" si="5"/>
        <v/>
      </c>
      <c r="AI27" s="8" t="str">
        <f t="shared" si="6"/>
        <v/>
      </c>
    </row>
    <row r="28" spans="1:35" x14ac:dyDescent="0.2">
      <c r="A28" t="s">
        <v>47</v>
      </c>
      <c r="D28" t="str">
        <f>IF(A28="","",VLOOKUP(A28,Lists!$A:$B,2,FALSE))</f>
        <v>0150</v>
      </c>
      <c r="W28" s="8" t="str">
        <f t="shared" si="0"/>
        <v/>
      </c>
      <c r="Y28" s="8" t="str">
        <f t="shared" si="1"/>
        <v/>
      </c>
      <c r="Z28" s="8" t="str">
        <f t="shared" si="2"/>
        <v/>
      </c>
      <c r="AD28" t="str">
        <f t="shared" si="3"/>
        <v/>
      </c>
      <c r="AF28" s="8" t="str">
        <f t="shared" si="4"/>
        <v/>
      </c>
      <c r="AH28" s="8" t="str">
        <f t="shared" si="5"/>
        <v/>
      </c>
      <c r="AI28" s="8" t="str">
        <f t="shared" si="6"/>
        <v/>
      </c>
    </row>
    <row r="29" spans="1:35" x14ac:dyDescent="0.2">
      <c r="A29" t="s">
        <v>47</v>
      </c>
      <c r="D29" t="str">
        <f>IF(A29="","",VLOOKUP(A29,Lists!$A:$B,2,FALSE))</f>
        <v>0150</v>
      </c>
      <c r="W29" s="8" t="str">
        <f t="shared" si="0"/>
        <v/>
      </c>
      <c r="Y29" s="8" t="str">
        <f t="shared" si="1"/>
        <v/>
      </c>
      <c r="Z29" s="8" t="str">
        <f t="shared" si="2"/>
        <v/>
      </c>
      <c r="AD29" t="str">
        <f t="shared" si="3"/>
        <v/>
      </c>
      <c r="AF29" s="8" t="str">
        <f t="shared" si="4"/>
        <v/>
      </c>
      <c r="AH29" s="8" t="str">
        <f t="shared" si="5"/>
        <v/>
      </c>
      <c r="AI29" s="8" t="str">
        <f t="shared" si="6"/>
        <v/>
      </c>
    </row>
    <row r="30" spans="1:35" x14ac:dyDescent="0.2">
      <c r="A30" t="s">
        <v>47</v>
      </c>
      <c r="D30" t="str">
        <f>IF(A30="","",VLOOKUP(A30,Lists!$A:$B,2,FALSE))</f>
        <v>0150</v>
      </c>
      <c r="W30" s="8" t="str">
        <f t="shared" si="0"/>
        <v/>
      </c>
      <c r="Y30" s="8" t="str">
        <f t="shared" si="1"/>
        <v/>
      </c>
      <c r="Z30" s="8" t="str">
        <f t="shared" si="2"/>
        <v/>
      </c>
      <c r="AD30" t="str">
        <f t="shared" si="3"/>
        <v/>
      </c>
      <c r="AF30" s="8" t="str">
        <f t="shared" si="4"/>
        <v/>
      </c>
      <c r="AH30" s="8" t="str">
        <f t="shared" si="5"/>
        <v/>
      </c>
      <c r="AI30" s="8" t="str">
        <f t="shared" si="6"/>
        <v/>
      </c>
    </row>
    <row r="31" spans="1:35" x14ac:dyDescent="0.2">
      <c r="A31" t="s">
        <v>47</v>
      </c>
      <c r="D31" t="str">
        <f>IF(A31="","",VLOOKUP(A31,Lists!$A:$B,2,FALSE))</f>
        <v>0150</v>
      </c>
      <c r="W31" s="8" t="str">
        <f t="shared" si="0"/>
        <v/>
      </c>
      <c r="Y31" s="8" t="str">
        <f t="shared" si="1"/>
        <v/>
      </c>
      <c r="Z31" s="8" t="str">
        <f t="shared" si="2"/>
        <v/>
      </c>
      <c r="AD31" t="str">
        <f t="shared" si="3"/>
        <v/>
      </c>
      <c r="AF31" s="8" t="str">
        <f t="shared" si="4"/>
        <v/>
      </c>
      <c r="AH31" s="8" t="str">
        <f t="shared" si="5"/>
        <v/>
      </c>
      <c r="AI31" s="8" t="str">
        <f t="shared" si="6"/>
        <v/>
      </c>
    </row>
    <row r="32" spans="1:35" x14ac:dyDescent="0.2">
      <c r="A32" t="s">
        <v>47</v>
      </c>
      <c r="D32" t="str">
        <f>IF(A32="","",VLOOKUP(A32,Lists!$A:$B,2,FALSE))</f>
        <v>0150</v>
      </c>
      <c r="W32" s="8" t="str">
        <f t="shared" si="0"/>
        <v/>
      </c>
      <c r="Y32" s="8" t="str">
        <f t="shared" si="1"/>
        <v/>
      </c>
      <c r="Z32" s="8" t="str">
        <f t="shared" si="2"/>
        <v/>
      </c>
      <c r="AD32" t="str">
        <f t="shared" si="3"/>
        <v/>
      </c>
      <c r="AF32" s="8" t="str">
        <f t="shared" si="4"/>
        <v/>
      </c>
      <c r="AH32" s="8" t="str">
        <f t="shared" si="5"/>
        <v/>
      </c>
      <c r="AI32" s="8" t="str">
        <f t="shared" si="6"/>
        <v/>
      </c>
    </row>
    <row r="33" spans="4:35" x14ac:dyDescent="0.2">
      <c r="D33" t="str">
        <f>IF(A33="","",VLOOKUP(A33,Lists!$A:$B,2,FALSE))</f>
        <v/>
      </c>
      <c r="W33" s="8" t="str">
        <f t="shared" si="0"/>
        <v/>
      </c>
      <c r="Y33" s="8" t="str">
        <f t="shared" si="1"/>
        <v/>
      </c>
      <c r="Z33" s="8" t="str">
        <f t="shared" si="2"/>
        <v/>
      </c>
      <c r="AD33" t="str">
        <f t="shared" si="3"/>
        <v/>
      </c>
      <c r="AF33" s="8" t="str">
        <f t="shared" si="4"/>
        <v/>
      </c>
      <c r="AH33" s="8" t="str">
        <f t="shared" si="5"/>
        <v/>
      </c>
      <c r="AI33" s="8" t="str">
        <f t="shared" si="6"/>
        <v/>
      </c>
    </row>
    <row r="34" spans="4:35" x14ac:dyDescent="0.2">
      <c r="D34" t="str">
        <f>IF(A34="","",VLOOKUP(A34,Lists!$A:$B,2,FALSE))</f>
        <v/>
      </c>
      <c r="W34" s="8" t="str">
        <f t="shared" ref="W34:W65" si="9">IF(AND(U34&lt;&gt;"",V34&lt;&gt;""),U34*V34,"")</f>
        <v/>
      </c>
      <c r="Y34" s="8" t="str">
        <f t="shared" ref="Y34:Y65" si="10">IF(AND(W34&lt;&gt;"",X34&lt;&gt;""),W34*X34,"")</f>
        <v/>
      </c>
      <c r="Z34" s="8" t="str">
        <f t="shared" ref="Z34:Z65" si="11">IF(AND(W34&lt;&gt;"",Y34&lt;&gt;""),W34+Y34,"")</f>
        <v/>
      </c>
      <c r="AD34" t="str">
        <f t="shared" ref="AD34:AD65" si="12">IF($B34="GWE_Item",IF($AA34="Elektra",SUMIFS($O:$O,$A:$A,$A34,$B:$B,"GWE")-SUMIFS($N:$N,$A:$A,$A34,$B:$B,"GWE"),IF($AA34="Gas",SUMIFS($Q:$Q,$A:$A,$A34,$B:$B,"GWE")-SUMIFS($P:$P,$A:$A,$A34,$B:$B,"GWE"),IF($AA34="Water",SUMIFS($S:$S,$A:$A,$A34,$B:$B,"GWE")-SUMIFS($R:$R,$A:$A,$A34,$B:$B,"GWE"),""))),"")</f>
        <v/>
      </c>
      <c r="AF34" s="8" t="str">
        <f t="shared" ref="AF34:AF65" si="13">IF(AND(AD34&lt;&gt;"",AE34&lt;&gt;""),AD34*AE34,"")</f>
        <v/>
      </c>
      <c r="AH34" s="8" t="str">
        <f t="shared" ref="AH34:AH65" si="14">IF(AND(AF34&lt;&gt;"",AG34&lt;&gt;""),AF34*AG34,"")</f>
        <v/>
      </c>
      <c r="AI34" s="8" t="str">
        <f t="shared" ref="AI34:AI65" si="15">IF(AND(AF34&lt;&gt;"",AH34&lt;&gt;""),AF34+AH34,"")</f>
        <v/>
      </c>
    </row>
    <row r="35" spans="4:35" x14ac:dyDescent="0.2">
      <c r="D35" t="str">
        <f>IF(A35="","",VLOOKUP(A35,Lists!$A:$B,2,FALSE))</f>
        <v/>
      </c>
      <c r="W35" s="8" t="str">
        <f t="shared" si="9"/>
        <v/>
      </c>
      <c r="Y35" s="8" t="str">
        <f t="shared" si="10"/>
        <v/>
      </c>
      <c r="Z35" s="8" t="str">
        <f t="shared" si="11"/>
        <v/>
      </c>
      <c r="AD35" t="str">
        <f t="shared" si="12"/>
        <v/>
      </c>
      <c r="AF35" s="8" t="str">
        <f t="shared" si="13"/>
        <v/>
      </c>
      <c r="AH35" s="8" t="str">
        <f t="shared" si="14"/>
        <v/>
      </c>
      <c r="AI35" s="8" t="str">
        <f t="shared" si="15"/>
        <v/>
      </c>
    </row>
    <row r="36" spans="4:35" x14ac:dyDescent="0.2">
      <c r="D36" t="str">
        <f>IF(A36="","",VLOOKUP(A36,Lists!$A:$B,2,FALSE))</f>
        <v/>
      </c>
      <c r="W36" s="8" t="str">
        <f t="shared" si="9"/>
        <v/>
      </c>
      <c r="Y36" s="8" t="str">
        <f t="shared" si="10"/>
        <v/>
      </c>
      <c r="Z36" s="8" t="str">
        <f t="shared" si="11"/>
        <v/>
      </c>
      <c r="AD36" t="str">
        <f t="shared" si="12"/>
        <v/>
      </c>
      <c r="AF36" s="8" t="str">
        <f t="shared" si="13"/>
        <v/>
      </c>
      <c r="AH36" s="8" t="str">
        <f t="shared" si="14"/>
        <v/>
      </c>
      <c r="AI36" s="8" t="str">
        <f t="shared" si="15"/>
        <v/>
      </c>
    </row>
    <row r="37" spans="4:35" x14ac:dyDescent="0.2">
      <c r="D37" t="str">
        <f>IF(A37="","",VLOOKUP(A37,Lists!$A:$B,2,FALSE))</f>
        <v/>
      </c>
      <c r="W37" s="8" t="str">
        <f t="shared" si="9"/>
        <v/>
      </c>
      <c r="Y37" s="8" t="str">
        <f t="shared" si="10"/>
        <v/>
      </c>
      <c r="Z37" s="8" t="str">
        <f t="shared" si="11"/>
        <v/>
      </c>
      <c r="AD37" t="str">
        <f t="shared" si="12"/>
        <v/>
      </c>
      <c r="AF37" s="8" t="str">
        <f t="shared" si="13"/>
        <v/>
      </c>
      <c r="AH37" s="8" t="str">
        <f t="shared" si="14"/>
        <v/>
      </c>
      <c r="AI37" s="8" t="str">
        <f t="shared" si="15"/>
        <v/>
      </c>
    </row>
    <row r="38" spans="4:35" x14ac:dyDescent="0.2">
      <c r="D38" t="str">
        <f>IF(A38="","",VLOOKUP(A38,Lists!$A:$B,2,FALSE))</f>
        <v/>
      </c>
      <c r="W38" s="8" t="str">
        <f t="shared" si="9"/>
        <v/>
      </c>
      <c r="Y38" s="8" t="str">
        <f t="shared" si="10"/>
        <v/>
      </c>
      <c r="Z38" s="8" t="str">
        <f t="shared" si="11"/>
        <v/>
      </c>
      <c r="AD38" t="str">
        <f t="shared" si="12"/>
        <v/>
      </c>
      <c r="AF38" s="8" t="str">
        <f t="shared" si="13"/>
        <v/>
      </c>
      <c r="AH38" s="8" t="str">
        <f t="shared" si="14"/>
        <v/>
      </c>
      <c r="AI38" s="8" t="str">
        <f t="shared" si="15"/>
        <v/>
      </c>
    </row>
    <row r="39" spans="4:35" x14ac:dyDescent="0.2">
      <c r="D39" t="str">
        <f>IF(A39="","",VLOOKUP(A39,Lists!$A:$B,2,FALSE))</f>
        <v/>
      </c>
      <c r="W39" s="8" t="str">
        <f t="shared" si="9"/>
        <v/>
      </c>
      <c r="Y39" s="8" t="str">
        <f t="shared" si="10"/>
        <v/>
      </c>
      <c r="Z39" s="8" t="str">
        <f t="shared" si="11"/>
        <v/>
      </c>
      <c r="AD39" t="str">
        <f t="shared" si="12"/>
        <v/>
      </c>
      <c r="AF39" s="8" t="str">
        <f t="shared" si="13"/>
        <v/>
      </c>
      <c r="AH39" s="8" t="str">
        <f t="shared" si="14"/>
        <v/>
      </c>
      <c r="AI39" s="8" t="str">
        <f t="shared" si="15"/>
        <v/>
      </c>
    </row>
    <row r="40" spans="4:35" x14ac:dyDescent="0.2">
      <c r="D40" t="str">
        <f>IF(A40="","",VLOOKUP(A40,Lists!$A:$B,2,FALSE))</f>
        <v/>
      </c>
      <c r="W40" s="8" t="str">
        <f t="shared" si="9"/>
        <v/>
      </c>
      <c r="Y40" s="8" t="str">
        <f t="shared" si="10"/>
        <v/>
      </c>
      <c r="Z40" s="8" t="str">
        <f t="shared" si="11"/>
        <v/>
      </c>
      <c r="AD40" t="str">
        <f t="shared" si="12"/>
        <v/>
      </c>
      <c r="AF40" s="8" t="str">
        <f t="shared" si="13"/>
        <v/>
      </c>
      <c r="AH40" s="8" t="str">
        <f t="shared" si="14"/>
        <v/>
      </c>
      <c r="AI40" s="8" t="str">
        <f t="shared" si="15"/>
        <v/>
      </c>
    </row>
    <row r="41" spans="4:35" x14ac:dyDescent="0.2">
      <c r="D41" t="str">
        <f>IF(A41="","",VLOOKUP(A41,Lists!$A:$B,2,FALSE))</f>
        <v/>
      </c>
      <c r="W41" s="8" t="str">
        <f t="shared" si="9"/>
        <v/>
      </c>
      <c r="Y41" s="8" t="str">
        <f t="shared" si="10"/>
        <v/>
      </c>
      <c r="Z41" s="8" t="str">
        <f t="shared" si="11"/>
        <v/>
      </c>
      <c r="AD41" t="str">
        <f t="shared" si="12"/>
        <v/>
      </c>
      <c r="AF41" s="8" t="str">
        <f t="shared" si="13"/>
        <v/>
      </c>
      <c r="AH41" s="8" t="str">
        <f t="shared" si="14"/>
        <v/>
      </c>
      <c r="AI41" s="8" t="str">
        <f t="shared" si="15"/>
        <v/>
      </c>
    </row>
    <row r="42" spans="4:35" x14ac:dyDescent="0.2">
      <c r="D42" t="str">
        <f>IF(A42="","",VLOOKUP(A42,Lists!$A:$B,2,FALSE))</f>
        <v/>
      </c>
      <c r="W42" s="8" t="str">
        <f t="shared" si="9"/>
        <v/>
      </c>
      <c r="Y42" s="8" t="str">
        <f t="shared" si="10"/>
        <v/>
      </c>
      <c r="Z42" s="8" t="str">
        <f t="shared" si="11"/>
        <v/>
      </c>
      <c r="AD42" t="str">
        <f t="shared" si="12"/>
        <v/>
      </c>
      <c r="AF42" s="8" t="str">
        <f t="shared" si="13"/>
        <v/>
      </c>
      <c r="AH42" s="8" t="str">
        <f t="shared" si="14"/>
        <v/>
      </c>
      <c r="AI42" s="8" t="str">
        <f t="shared" si="15"/>
        <v/>
      </c>
    </row>
    <row r="43" spans="4:35" x14ac:dyDescent="0.2">
      <c r="D43" t="str">
        <f>IF(A43="","",VLOOKUP(A43,Lists!$A:$B,2,FALSE))</f>
        <v/>
      </c>
      <c r="W43" s="8" t="str">
        <f t="shared" si="9"/>
        <v/>
      </c>
      <c r="Y43" s="8" t="str">
        <f t="shared" si="10"/>
        <v/>
      </c>
      <c r="Z43" s="8" t="str">
        <f t="shared" si="11"/>
        <v/>
      </c>
      <c r="AD43" t="str">
        <f t="shared" si="12"/>
        <v/>
      </c>
      <c r="AF43" s="8" t="str">
        <f t="shared" si="13"/>
        <v/>
      </c>
      <c r="AH43" s="8" t="str">
        <f t="shared" si="14"/>
        <v/>
      </c>
      <c r="AI43" s="8" t="str">
        <f t="shared" si="15"/>
        <v/>
      </c>
    </row>
    <row r="44" spans="4:35" x14ac:dyDescent="0.2">
      <c r="D44" t="str">
        <f>IF(A44="","",VLOOKUP(A44,Lists!$A:$B,2,FALSE))</f>
        <v/>
      </c>
      <c r="W44" s="8" t="str">
        <f t="shared" si="9"/>
        <v/>
      </c>
      <c r="Y44" s="8" t="str">
        <f t="shared" si="10"/>
        <v/>
      </c>
      <c r="Z44" s="8" t="str">
        <f t="shared" si="11"/>
        <v/>
      </c>
      <c r="AD44" t="str">
        <f t="shared" si="12"/>
        <v/>
      </c>
      <c r="AF44" s="8" t="str">
        <f t="shared" si="13"/>
        <v/>
      </c>
      <c r="AH44" s="8" t="str">
        <f t="shared" si="14"/>
        <v/>
      </c>
      <c r="AI44" s="8" t="str">
        <f t="shared" si="15"/>
        <v/>
      </c>
    </row>
    <row r="45" spans="4:35" x14ac:dyDescent="0.2">
      <c r="D45" t="str">
        <f>IF(A45="","",VLOOKUP(A45,Lists!$A:$B,2,FALSE))</f>
        <v/>
      </c>
      <c r="W45" s="8" t="str">
        <f t="shared" si="9"/>
        <v/>
      </c>
      <c r="Y45" s="8" t="str">
        <f t="shared" si="10"/>
        <v/>
      </c>
      <c r="Z45" s="8" t="str">
        <f t="shared" si="11"/>
        <v/>
      </c>
      <c r="AD45" t="str">
        <f t="shared" si="12"/>
        <v/>
      </c>
      <c r="AF45" s="8" t="str">
        <f t="shared" si="13"/>
        <v/>
      </c>
      <c r="AH45" s="8" t="str">
        <f t="shared" si="14"/>
        <v/>
      </c>
      <c r="AI45" s="8" t="str">
        <f t="shared" si="15"/>
        <v/>
      </c>
    </row>
    <row r="46" spans="4:35" x14ac:dyDescent="0.2">
      <c r="D46" t="str">
        <f>IF(A46="","",VLOOKUP(A46,Lists!$A:$B,2,FALSE))</f>
        <v/>
      </c>
      <c r="W46" s="8" t="str">
        <f t="shared" si="9"/>
        <v/>
      </c>
      <c r="Y46" s="8" t="str">
        <f t="shared" si="10"/>
        <v/>
      </c>
      <c r="Z46" s="8" t="str">
        <f t="shared" si="11"/>
        <v/>
      </c>
      <c r="AD46" t="str">
        <f t="shared" si="12"/>
        <v/>
      </c>
      <c r="AF46" s="8" t="str">
        <f t="shared" si="13"/>
        <v/>
      </c>
      <c r="AH46" s="8" t="str">
        <f t="shared" si="14"/>
        <v/>
      </c>
      <c r="AI46" s="8" t="str">
        <f t="shared" si="15"/>
        <v/>
      </c>
    </row>
    <row r="47" spans="4:35" x14ac:dyDescent="0.2">
      <c r="D47" t="str">
        <f>IF(A47="","",VLOOKUP(A47,Lists!$A:$B,2,FALSE))</f>
        <v/>
      </c>
      <c r="W47" s="8" t="str">
        <f t="shared" si="9"/>
        <v/>
      </c>
      <c r="Y47" s="8" t="str">
        <f t="shared" si="10"/>
        <v/>
      </c>
      <c r="Z47" s="8" t="str">
        <f t="shared" si="11"/>
        <v/>
      </c>
      <c r="AD47" t="str">
        <f t="shared" si="12"/>
        <v/>
      </c>
      <c r="AF47" s="8" t="str">
        <f t="shared" si="13"/>
        <v/>
      </c>
      <c r="AH47" s="8" t="str">
        <f t="shared" si="14"/>
        <v/>
      </c>
      <c r="AI47" s="8" t="str">
        <f t="shared" si="15"/>
        <v/>
      </c>
    </row>
    <row r="48" spans="4:35" x14ac:dyDescent="0.2">
      <c r="D48" t="str">
        <f>IF(A48="","",VLOOKUP(A48,Lists!$A:$B,2,FALSE))</f>
        <v/>
      </c>
      <c r="W48" s="8" t="str">
        <f t="shared" si="9"/>
        <v/>
      </c>
      <c r="Y48" s="8" t="str">
        <f t="shared" si="10"/>
        <v/>
      </c>
      <c r="Z48" s="8" t="str">
        <f t="shared" si="11"/>
        <v/>
      </c>
      <c r="AD48" t="str">
        <f t="shared" si="12"/>
        <v/>
      </c>
      <c r="AF48" s="8" t="str">
        <f t="shared" si="13"/>
        <v/>
      </c>
      <c r="AH48" s="8" t="str">
        <f t="shared" si="14"/>
        <v/>
      </c>
      <c r="AI48" s="8" t="str">
        <f t="shared" si="15"/>
        <v/>
      </c>
    </row>
    <row r="49" spans="4:35" x14ac:dyDescent="0.2">
      <c r="D49" t="str">
        <f>IF(A49="","",VLOOKUP(A49,Lists!$A:$B,2,FALSE))</f>
        <v/>
      </c>
      <c r="W49" s="8" t="str">
        <f t="shared" si="9"/>
        <v/>
      </c>
      <c r="Y49" s="8" t="str">
        <f t="shared" si="10"/>
        <v/>
      </c>
      <c r="Z49" s="8" t="str">
        <f t="shared" si="11"/>
        <v/>
      </c>
      <c r="AD49" t="str">
        <f t="shared" si="12"/>
        <v/>
      </c>
      <c r="AF49" s="8" t="str">
        <f t="shared" si="13"/>
        <v/>
      </c>
      <c r="AH49" s="8" t="str">
        <f t="shared" si="14"/>
        <v/>
      </c>
      <c r="AI49" s="8" t="str">
        <f t="shared" si="15"/>
        <v/>
      </c>
    </row>
    <row r="50" spans="4:35" x14ac:dyDescent="0.2">
      <c r="D50" t="str">
        <f>IF(A50="","",VLOOKUP(A50,Lists!$A:$B,2,FALSE))</f>
        <v/>
      </c>
      <c r="W50" s="8" t="str">
        <f t="shared" si="9"/>
        <v/>
      </c>
      <c r="Y50" s="8" t="str">
        <f t="shared" si="10"/>
        <v/>
      </c>
      <c r="Z50" s="8" t="str">
        <f t="shared" si="11"/>
        <v/>
      </c>
      <c r="AD50" t="str">
        <f t="shared" si="12"/>
        <v/>
      </c>
      <c r="AF50" s="8" t="str">
        <f t="shared" si="13"/>
        <v/>
      </c>
      <c r="AH50" s="8" t="str">
        <f t="shared" si="14"/>
        <v/>
      </c>
      <c r="AI50" s="8" t="str">
        <f t="shared" si="15"/>
        <v/>
      </c>
    </row>
    <row r="51" spans="4:35" x14ac:dyDescent="0.2">
      <c r="D51" t="str">
        <f>IF(A51="","",VLOOKUP(A51,Lists!$A:$B,2,FALSE))</f>
        <v/>
      </c>
      <c r="W51" s="8" t="str">
        <f t="shared" si="9"/>
        <v/>
      </c>
      <c r="Y51" s="8" t="str">
        <f t="shared" si="10"/>
        <v/>
      </c>
      <c r="Z51" s="8" t="str">
        <f t="shared" si="11"/>
        <v/>
      </c>
      <c r="AD51" t="str">
        <f t="shared" si="12"/>
        <v/>
      </c>
      <c r="AF51" s="8" t="str">
        <f t="shared" si="13"/>
        <v/>
      </c>
      <c r="AH51" s="8" t="str">
        <f t="shared" si="14"/>
        <v/>
      </c>
      <c r="AI51" s="8" t="str">
        <f t="shared" si="15"/>
        <v/>
      </c>
    </row>
    <row r="52" spans="4:35" x14ac:dyDescent="0.2">
      <c r="D52" t="str">
        <f>IF(A52="","",VLOOKUP(A52,Lists!$A:$B,2,FALSE))</f>
        <v/>
      </c>
      <c r="W52" s="8" t="str">
        <f t="shared" si="9"/>
        <v/>
      </c>
      <c r="Y52" s="8" t="str">
        <f t="shared" si="10"/>
        <v/>
      </c>
      <c r="Z52" s="8" t="str">
        <f t="shared" si="11"/>
        <v/>
      </c>
      <c r="AD52" t="str">
        <f t="shared" si="12"/>
        <v/>
      </c>
      <c r="AF52" s="8" t="str">
        <f t="shared" si="13"/>
        <v/>
      </c>
      <c r="AH52" s="8" t="str">
        <f t="shared" si="14"/>
        <v/>
      </c>
      <c r="AI52" s="8" t="str">
        <f t="shared" si="15"/>
        <v/>
      </c>
    </row>
    <row r="53" spans="4:35" x14ac:dyDescent="0.2">
      <c r="D53" t="str">
        <f>IF(A53="","",VLOOKUP(A53,Lists!$A:$B,2,FALSE))</f>
        <v/>
      </c>
      <c r="W53" s="8" t="str">
        <f t="shared" si="9"/>
        <v/>
      </c>
      <c r="Y53" s="8" t="str">
        <f t="shared" si="10"/>
        <v/>
      </c>
      <c r="Z53" s="8" t="str">
        <f t="shared" si="11"/>
        <v/>
      </c>
      <c r="AD53" t="str">
        <f t="shared" si="12"/>
        <v/>
      </c>
      <c r="AF53" s="8" t="str">
        <f t="shared" si="13"/>
        <v/>
      </c>
      <c r="AH53" s="8" t="str">
        <f t="shared" si="14"/>
        <v/>
      </c>
      <c r="AI53" s="8" t="str">
        <f t="shared" si="15"/>
        <v/>
      </c>
    </row>
    <row r="54" spans="4:35" x14ac:dyDescent="0.2">
      <c r="D54" t="str">
        <f>IF(A54="","",VLOOKUP(A54,Lists!$A:$B,2,FALSE))</f>
        <v/>
      </c>
      <c r="W54" s="8" t="str">
        <f t="shared" si="9"/>
        <v/>
      </c>
      <c r="Y54" s="8" t="str">
        <f t="shared" si="10"/>
        <v/>
      </c>
      <c r="Z54" s="8" t="str">
        <f t="shared" si="11"/>
        <v/>
      </c>
      <c r="AD54" t="str">
        <f t="shared" si="12"/>
        <v/>
      </c>
      <c r="AF54" s="8" t="str">
        <f t="shared" si="13"/>
        <v/>
      </c>
      <c r="AH54" s="8" t="str">
        <f t="shared" si="14"/>
        <v/>
      </c>
      <c r="AI54" s="8" t="str">
        <f t="shared" si="15"/>
        <v/>
      </c>
    </row>
    <row r="55" spans="4:35" x14ac:dyDescent="0.2">
      <c r="D55" t="str">
        <f>IF(A55="","",VLOOKUP(A55,Lists!$A:$B,2,FALSE))</f>
        <v/>
      </c>
      <c r="W55" s="8" t="str">
        <f t="shared" si="9"/>
        <v/>
      </c>
      <c r="Y55" s="8" t="str">
        <f t="shared" si="10"/>
        <v/>
      </c>
      <c r="Z55" s="8" t="str">
        <f t="shared" si="11"/>
        <v/>
      </c>
      <c r="AD55" t="str">
        <f t="shared" si="12"/>
        <v/>
      </c>
      <c r="AF55" s="8" t="str">
        <f t="shared" si="13"/>
        <v/>
      </c>
      <c r="AH55" s="8" t="str">
        <f t="shared" si="14"/>
        <v/>
      </c>
      <c r="AI55" s="8" t="str">
        <f t="shared" si="15"/>
        <v/>
      </c>
    </row>
    <row r="56" spans="4:35" x14ac:dyDescent="0.2">
      <c r="D56" t="str">
        <f>IF(A56="","",VLOOKUP(A56,Lists!$A:$B,2,FALSE))</f>
        <v/>
      </c>
      <c r="W56" s="8" t="str">
        <f t="shared" si="9"/>
        <v/>
      </c>
      <c r="Y56" s="8" t="str">
        <f t="shared" si="10"/>
        <v/>
      </c>
      <c r="Z56" s="8" t="str">
        <f t="shared" si="11"/>
        <v/>
      </c>
      <c r="AD56" t="str">
        <f t="shared" si="12"/>
        <v/>
      </c>
      <c r="AF56" s="8" t="str">
        <f t="shared" si="13"/>
        <v/>
      </c>
      <c r="AH56" s="8" t="str">
        <f t="shared" si="14"/>
        <v/>
      </c>
      <c r="AI56" s="8" t="str">
        <f t="shared" si="15"/>
        <v/>
      </c>
    </row>
    <row r="57" spans="4:35" x14ac:dyDescent="0.2">
      <c r="D57" t="str">
        <f>IF(A57="","",VLOOKUP(A57,Lists!$A:$B,2,FALSE))</f>
        <v/>
      </c>
      <c r="W57" s="8" t="str">
        <f t="shared" si="9"/>
        <v/>
      </c>
      <c r="Y57" s="8" t="str">
        <f t="shared" si="10"/>
        <v/>
      </c>
      <c r="Z57" s="8" t="str">
        <f t="shared" si="11"/>
        <v/>
      </c>
      <c r="AD57" t="str">
        <f t="shared" si="12"/>
        <v/>
      </c>
      <c r="AF57" s="8" t="str">
        <f t="shared" si="13"/>
        <v/>
      </c>
      <c r="AH57" s="8" t="str">
        <f t="shared" si="14"/>
        <v/>
      </c>
      <c r="AI57" s="8" t="str">
        <f t="shared" si="15"/>
        <v/>
      </c>
    </row>
    <row r="58" spans="4:35" x14ac:dyDescent="0.2">
      <c r="D58" t="str">
        <f>IF(A58="","",VLOOKUP(A58,Lists!$A:$B,2,FALSE))</f>
        <v/>
      </c>
      <c r="W58" s="8" t="str">
        <f t="shared" si="9"/>
        <v/>
      </c>
      <c r="Y58" s="8" t="str">
        <f t="shared" si="10"/>
        <v/>
      </c>
      <c r="Z58" s="8" t="str">
        <f t="shared" si="11"/>
        <v/>
      </c>
      <c r="AD58" t="str">
        <f t="shared" si="12"/>
        <v/>
      </c>
      <c r="AF58" s="8" t="str">
        <f t="shared" si="13"/>
        <v/>
      </c>
      <c r="AH58" s="8" t="str">
        <f t="shared" si="14"/>
        <v/>
      </c>
      <c r="AI58" s="8" t="str">
        <f t="shared" si="15"/>
        <v/>
      </c>
    </row>
    <row r="59" spans="4:35" x14ac:dyDescent="0.2">
      <c r="D59" t="str">
        <f>IF(A59="","",VLOOKUP(A59,Lists!$A:$B,2,FALSE))</f>
        <v/>
      </c>
      <c r="W59" s="8" t="str">
        <f t="shared" si="9"/>
        <v/>
      </c>
      <c r="Y59" s="8" t="str">
        <f t="shared" si="10"/>
        <v/>
      </c>
      <c r="Z59" s="8" t="str">
        <f t="shared" si="11"/>
        <v/>
      </c>
      <c r="AD59" t="str">
        <f t="shared" si="12"/>
        <v/>
      </c>
      <c r="AF59" s="8" t="str">
        <f t="shared" si="13"/>
        <v/>
      </c>
      <c r="AH59" s="8" t="str">
        <f t="shared" si="14"/>
        <v/>
      </c>
      <c r="AI59" s="8" t="str">
        <f t="shared" si="15"/>
        <v/>
      </c>
    </row>
    <row r="60" spans="4:35" x14ac:dyDescent="0.2">
      <c r="D60" t="str">
        <f>IF(A60="","",VLOOKUP(A60,Lists!$A:$B,2,FALSE))</f>
        <v/>
      </c>
      <c r="W60" s="8" t="str">
        <f t="shared" si="9"/>
        <v/>
      </c>
      <c r="Y60" s="8" t="str">
        <f t="shared" si="10"/>
        <v/>
      </c>
      <c r="Z60" s="8" t="str">
        <f t="shared" si="11"/>
        <v/>
      </c>
      <c r="AD60" t="str">
        <f t="shared" si="12"/>
        <v/>
      </c>
      <c r="AF60" s="8" t="str">
        <f t="shared" si="13"/>
        <v/>
      </c>
      <c r="AH60" s="8" t="str">
        <f t="shared" si="14"/>
        <v/>
      </c>
      <c r="AI60" s="8" t="str">
        <f t="shared" si="15"/>
        <v/>
      </c>
    </row>
    <row r="61" spans="4:35" x14ac:dyDescent="0.2">
      <c r="D61" t="str">
        <f>IF(A61="","",VLOOKUP(A61,Lists!$A:$B,2,FALSE))</f>
        <v/>
      </c>
      <c r="W61" s="8" t="str">
        <f t="shared" si="9"/>
        <v/>
      </c>
      <c r="Y61" s="8" t="str">
        <f t="shared" si="10"/>
        <v/>
      </c>
      <c r="Z61" s="8" t="str">
        <f t="shared" si="11"/>
        <v/>
      </c>
      <c r="AD61" t="str">
        <f t="shared" si="12"/>
        <v/>
      </c>
      <c r="AF61" s="8" t="str">
        <f t="shared" si="13"/>
        <v/>
      </c>
      <c r="AH61" s="8" t="str">
        <f t="shared" si="14"/>
        <v/>
      </c>
      <c r="AI61" s="8" t="str">
        <f t="shared" si="15"/>
        <v/>
      </c>
    </row>
    <row r="62" spans="4:35" x14ac:dyDescent="0.2">
      <c r="D62" t="str">
        <f>IF(A62="","",VLOOKUP(A62,Lists!$A:$B,2,FALSE))</f>
        <v/>
      </c>
      <c r="W62" s="8" t="str">
        <f t="shared" si="9"/>
        <v/>
      </c>
      <c r="Y62" s="8" t="str">
        <f t="shared" si="10"/>
        <v/>
      </c>
      <c r="Z62" s="8" t="str">
        <f t="shared" si="11"/>
        <v/>
      </c>
      <c r="AD62" t="str">
        <f t="shared" si="12"/>
        <v/>
      </c>
      <c r="AF62" s="8" t="str">
        <f t="shared" si="13"/>
        <v/>
      </c>
      <c r="AH62" s="8" t="str">
        <f t="shared" si="14"/>
        <v/>
      </c>
      <c r="AI62" s="8" t="str">
        <f t="shared" si="15"/>
        <v/>
      </c>
    </row>
    <row r="63" spans="4:35" x14ac:dyDescent="0.2">
      <c r="D63" t="str">
        <f>IF(A63="","",VLOOKUP(A63,Lists!$A:$B,2,FALSE))</f>
        <v/>
      </c>
      <c r="W63" s="8" t="str">
        <f t="shared" si="9"/>
        <v/>
      </c>
      <c r="Y63" s="8" t="str">
        <f t="shared" si="10"/>
        <v/>
      </c>
      <c r="Z63" s="8" t="str">
        <f t="shared" si="11"/>
        <v/>
      </c>
      <c r="AD63" t="str">
        <f t="shared" si="12"/>
        <v/>
      </c>
      <c r="AF63" s="8" t="str">
        <f t="shared" si="13"/>
        <v/>
      </c>
      <c r="AH63" s="8" t="str">
        <f t="shared" si="14"/>
        <v/>
      </c>
      <c r="AI63" s="8" t="str">
        <f t="shared" si="15"/>
        <v/>
      </c>
    </row>
    <row r="64" spans="4:35" x14ac:dyDescent="0.2">
      <c r="D64" t="str">
        <f>IF(A64="","",VLOOKUP(A64,Lists!$A:$B,2,FALSE))</f>
        <v/>
      </c>
      <c r="W64" s="8" t="str">
        <f t="shared" si="9"/>
        <v/>
      </c>
      <c r="Y64" s="8" t="str">
        <f t="shared" si="10"/>
        <v/>
      </c>
      <c r="Z64" s="8" t="str">
        <f t="shared" si="11"/>
        <v/>
      </c>
      <c r="AD64" t="str">
        <f t="shared" si="12"/>
        <v/>
      </c>
      <c r="AF64" s="8" t="str">
        <f t="shared" si="13"/>
        <v/>
      </c>
      <c r="AH64" s="8" t="str">
        <f t="shared" si="14"/>
        <v/>
      </c>
      <c r="AI64" s="8" t="str">
        <f t="shared" si="15"/>
        <v/>
      </c>
    </row>
    <row r="65" spans="4:35" x14ac:dyDescent="0.2">
      <c r="D65" t="str">
        <f>IF(A65="","",VLOOKUP(A65,Lists!$A:$B,2,FALSE))</f>
        <v/>
      </c>
      <c r="W65" s="8" t="str">
        <f t="shared" si="9"/>
        <v/>
      </c>
      <c r="Y65" s="8" t="str">
        <f t="shared" si="10"/>
        <v/>
      </c>
      <c r="Z65" s="8" t="str">
        <f t="shared" si="11"/>
        <v/>
      </c>
      <c r="AD65" t="str">
        <f t="shared" si="12"/>
        <v/>
      </c>
      <c r="AF65" s="8" t="str">
        <f t="shared" si="13"/>
        <v/>
      </c>
      <c r="AH65" s="8" t="str">
        <f t="shared" si="14"/>
        <v/>
      </c>
      <c r="AI65" s="8" t="str">
        <f t="shared" si="15"/>
        <v/>
      </c>
    </row>
    <row r="66" spans="4:35" x14ac:dyDescent="0.2">
      <c r="D66" t="str">
        <f>IF(A66="","",VLOOKUP(A66,Lists!$A:$B,2,FALSE))</f>
        <v/>
      </c>
      <c r="W66" s="8" t="str">
        <f t="shared" ref="W66:W97" si="16">IF(AND(U66&lt;&gt;"",V66&lt;&gt;""),U66*V66,"")</f>
        <v/>
      </c>
      <c r="Y66" s="8" t="str">
        <f t="shared" ref="Y66:Y97" si="17">IF(AND(W66&lt;&gt;"",X66&lt;&gt;""),W66*X66,"")</f>
        <v/>
      </c>
      <c r="Z66" s="8" t="str">
        <f t="shared" ref="Z66:Z97" si="18">IF(AND(W66&lt;&gt;"",Y66&lt;&gt;""),W66+Y66,"")</f>
        <v/>
      </c>
      <c r="AD66" t="str">
        <f t="shared" ref="AD66:AD97" si="19">IF($B66="GWE_Item",IF($AA66="Elektra",SUMIFS($O:$O,$A:$A,$A66,$B:$B,"GWE")-SUMIFS($N:$N,$A:$A,$A66,$B:$B,"GWE"),IF($AA66="Gas",SUMIFS($Q:$Q,$A:$A,$A66,$B:$B,"GWE")-SUMIFS($P:$P,$A:$A,$A66,$B:$B,"GWE"),IF($AA66="Water",SUMIFS($S:$S,$A:$A,$A66,$B:$B,"GWE")-SUMIFS($R:$R,$A:$A,$A66,$B:$B,"GWE"),""))),"")</f>
        <v/>
      </c>
      <c r="AF66" s="8" t="str">
        <f t="shared" ref="AF66:AF97" si="20">IF(AND(AD66&lt;&gt;"",AE66&lt;&gt;""),AD66*AE66,"")</f>
        <v/>
      </c>
      <c r="AH66" s="8" t="str">
        <f t="shared" ref="AH66:AH97" si="21">IF(AND(AF66&lt;&gt;"",AG66&lt;&gt;""),AF66*AG66,"")</f>
        <v/>
      </c>
      <c r="AI66" s="8" t="str">
        <f t="shared" ref="AI66:AI97" si="22">IF(AND(AF66&lt;&gt;"",AH66&lt;&gt;""),AF66+AH66,"")</f>
        <v/>
      </c>
    </row>
    <row r="67" spans="4:35" x14ac:dyDescent="0.2">
      <c r="D67" t="str">
        <f>IF(A67="","",VLOOKUP(A67,Lists!$A:$B,2,FALSE))</f>
        <v/>
      </c>
      <c r="W67" s="8" t="str">
        <f t="shared" si="16"/>
        <v/>
      </c>
      <c r="Y67" s="8" t="str">
        <f t="shared" si="17"/>
        <v/>
      </c>
      <c r="Z67" s="8" t="str">
        <f t="shared" si="18"/>
        <v/>
      </c>
      <c r="AD67" t="str">
        <f t="shared" si="19"/>
        <v/>
      </c>
      <c r="AF67" s="8" t="str">
        <f t="shared" si="20"/>
        <v/>
      </c>
      <c r="AH67" s="8" t="str">
        <f t="shared" si="21"/>
        <v/>
      </c>
      <c r="AI67" s="8" t="str">
        <f t="shared" si="22"/>
        <v/>
      </c>
    </row>
    <row r="68" spans="4:35" x14ac:dyDescent="0.2">
      <c r="D68" t="str">
        <f>IF(A68="","",VLOOKUP(A68,Lists!$A:$B,2,FALSE))</f>
        <v/>
      </c>
      <c r="W68" s="8" t="str">
        <f t="shared" si="16"/>
        <v/>
      </c>
      <c r="Y68" s="8" t="str">
        <f t="shared" si="17"/>
        <v/>
      </c>
      <c r="Z68" s="8" t="str">
        <f t="shared" si="18"/>
        <v/>
      </c>
      <c r="AD68" t="str">
        <f t="shared" si="19"/>
        <v/>
      </c>
      <c r="AF68" s="8" t="str">
        <f t="shared" si="20"/>
        <v/>
      </c>
      <c r="AH68" s="8" t="str">
        <f t="shared" si="21"/>
        <v/>
      </c>
      <c r="AI68" s="8" t="str">
        <f t="shared" si="22"/>
        <v/>
      </c>
    </row>
    <row r="69" spans="4:35" x14ac:dyDescent="0.2">
      <c r="D69" t="str">
        <f>IF(A69="","",VLOOKUP(A69,Lists!$A:$B,2,FALSE))</f>
        <v/>
      </c>
      <c r="W69" s="8" t="str">
        <f t="shared" si="16"/>
        <v/>
      </c>
      <c r="Y69" s="8" t="str">
        <f t="shared" si="17"/>
        <v/>
      </c>
      <c r="Z69" s="8" t="str">
        <f t="shared" si="18"/>
        <v/>
      </c>
      <c r="AD69" t="str">
        <f t="shared" si="19"/>
        <v/>
      </c>
      <c r="AF69" s="8" t="str">
        <f t="shared" si="20"/>
        <v/>
      </c>
      <c r="AH69" s="8" t="str">
        <f t="shared" si="21"/>
        <v/>
      </c>
      <c r="AI69" s="8" t="str">
        <f t="shared" si="22"/>
        <v/>
      </c>
    </row>
    <row r="70" spans="4:35" x14ac:dyDescent="0.2">
      <c r="D70" t="str">
        <f>IF(A70="","",VLOOKUP(A70,Lists!$A:$B,2,FALSE))</f>
        <v/>
      </c>
      <c r="W70" s="8" t="str">
        <f t="shared" si="16"/>
        <v/>
      </c>
      <c r="Y70" s="8" t="str">
        <f t="shared" si="17"/>
        <v/>
      </c>
      <c r="Z70" s="8" t="str">
        <f t="shared" si="18"/>
        <v/>
      </c>
      <c r="AD70" t="str">
        <f t="shared" si="19"/>
        <v/>
      </c>
      <c r="AF70" s="8" t="str">
        <f t="shared" si="20"/>
        <v/>
      </c>
      <c r="AH70" s="8" t="str">
        <f t="shared" si="21"/>
        <v/>
      </c>
      <c r="AI70" s="8" t="str">
        <f t="shared" si="22"/>
        <v/>
      </c>
    </row>
    <row r="71" spans="4:35" x14ac:dyDescent="0.2">
      <c r="D71" t="str">
        <f>IF(A71="","",VLOOKUP(A71,Lists!$A:$B,2,FALSE))</f>
        <v/>
      </c>
      <c r="W71" s="8" t="str">
        <f t="shared" si="16"/>
        <v/>
      </c>
      <c r="Y71" s="8" t="str">
        <f t="shared" si="17"/>
        <v/>
      </c>
      <c r="Z71" s="8" t="str">
        <f t="shared" si="18"/>
        <v/>
      </c>
      <c r="AD71" t="str">
        <f t="shared" si="19"/>
        <v/>
      </c>
      <c r="AF71" s="8" t="str">
        <f t="shared" si="20"/>
        <v/>
      </c>
      <c r="AH71" s="8" t="str">
        <f t="shared" si="21"/>
        <v/>
      </c>
      <c r="AI71" s="8" t="str">
        <f t="shared" si="22"/>
        <v/>
      </c>
    </row>
    <row r="72" spans="4:35" x14ac:dyDescent="0.2">
      <c r="D72" t="str">
        <f>IF(A72="","",VLOOKUP(A72,Lists!$A:$B,2,FALSE))</f>
        <v/>
      </c>
      <c r="W72" s="8" t="str">
        <f t="shared" si="16"/>
        <v/>
      </c>
      <c r="Y72" s="8" t="str">
        <f t="shared" si="17"/>
        <v/>
      </c>
      <c r="Z72" s="8" t="str">
        <f t="shared" si="18"/>
        <v/>
      </c>
      <c r="AD72" t="str">
        <f t="shared" si="19"/>
        <v/>
      </c>
      <c r="AF72" s="8" t="str">
        <f t="shared" si="20"/>
        <v/>
      </c>
      <c r="AH72" s="8" t="str">
        <f t="shared" si="21"/>
        <v/>
      </c>
      <c r="AI72" s="8" t="str">
        <f t="shared" si="22"/>
        <v/>
      </c>
    </row>
    <row r="73" spans="4:35" x14ac:dyDescent="0.2">
      <c r="D73" t="str">
        <f>IF(A73="","",VLOOKUP(A73,Lists!$A:$B,2,FALSE))</f>
        <v/>
      </c>
      <c r="W73" s="8" t="str">
        <f t="shared" si="16"/>
        <v/>
      </c>
      <c r="Y73" s="8" t="str">
        <f t="shared" si="17"/>
        <v/>
      </c>
      <c r="Z73" s="8" t="str">
        <f t="shared" si="18"/>
        <v/>
      </c>
      <c r="AD73" t="str">
        <f t="shared" si="19"/>
        <v/>
      </c>
      <c r="AF73" s="8" t="str">
        <f t="shared" si="20"/>
        <v/>
      </c>
      <c r="AH73" s="8" t="str">
        <f t="shared" si="21"/>
        <v/>
      </c>
      <c r="AI73" s="8" t="str">
        <f t="shared" si="22"/>
        <v/>
      </c>
    </row>
    <row r="74" spans="4:35" x14ac:dyDescent="0.2">
      <c r="D74" t="str">
        <f>IF(A74="","",VLOOKUP(A74,Lists!$A:$B,2,FALSE))</f>
        <v/>
      </c>
      <c r="W74" s="8" t="str">
        <f t="shared" si="16"/>
        <v/>
      </c>
      <c r="Y74" s="8" t="str">
        <f t="shared" si="17"/>
        <v/>
      </c>
      <c r="Z74" s="8" t="str">
        <f t="shared" si="18"/>
        <v/>
      </c>
      <c r="AD74" t="str">
        <f t="shared" si="19"/>
        <v/>
      </c>
      <c r="AF74" s="8" t="str">
        <f t="shared" si="20"/>
        <v/>
      </c>
      <c r="AH74" s="8" t="str">
        <f t="shared" si="21"/>
        <v/>
      </c>
      <c r="AI74" s="8" t="str">
        <f t="shared" si="22"/>
        <v/>
      </c>
    </row>
    <row r="75" spans="4:35" x14ac:dyDescent="0.2">
      <c r="D75" t="str">
        <f>IF(A75="","",VLOOKUP(A75,Lists!$A:$B,2,FALSE))</f>
        <v/>
      </c>
      <c r="W75" s="8" t="str">
        <f t="shared" si="16"/>
        <v/>
      </c>
      <c r="Y75" s="8" t="str">
        <f t="shared" si="17"/>
        <v/>
      </c>
      <c r="Z75" s="8" t="str">
        <f t="shared" si="18"/>
        <v/>
      </c>
      <c r="AD75" t="str">
        <f t="shared" si="19"/>
        <v/>
      </c>
      <c r="AF75" s="8" t="str">
        <f t="shared" si="20"/>
        <v/>
      </c>
      <c r="AH75" s="8" t="str">
        <f t="shared" si="21"/>
        <v/>
      </c>
      <c r="AI75" s="8" t="str">
        <f t="shared" si="22"/>
        <v/>
      </c>
    </row>
    <row r="76" spans="4:35" x14ac:dyDescent="0.2">
      <c r="D76" t="str">
        <f>IF(A76="","",VLOOKUP(A76,Lists!$A:$B,2,FALSE))</f>
        <v/>
      </c>
      <c r="W76" s="8" t="str">
        <f t="shared" si="16"/>
        <v/>
      </c>
      <c r="Y76" s="8" t="str">
        <f t="shared" si="17"/>
        <v/>
      </c>
      <c r="Z76" s="8" t="str">
        <f t="shared" si="18"/>
        <v/>
      </c>
      <c r="AD76" t="str">
        <f t="shared" si="19"/>
        <v/>
      </c>
      <c r="AF76" s="8" t="str">
        <f t="shared" si="20"/>
        <v/>
      </c>
      <c r="AH76" s="8" t="str">
        <f t="shared" si="21"/>
        <v/>
      </c>
      <c r="AI76" s="8" t="str">
        <f t="shared" si="22"/>
        <v/>
      </c>
    </row>
    <row r="77" spans="4:35" x14ac:dyDescent="0.2">
      <c r="D77" t="str">
        <f>IF(A77="","",VLOOKUP(A77,Lists!$A:$B,2,FALSE))</f>
        <v/>
      </c>
      <c r="W77" s="8" t="str">
        <f t="shared" si="16"/>
        <v/>
      </c>
      <c r="Y77" s="8" t="str">
        <f t="shared" si="17"/>
        <v/>
      </c>
      <c r="Z77" s="8" t="str">
        <f t="shared" si="18"/>
        <v/>
      </c>
      <c r="AD77" t="str">
        <f t="shared" si="19"/>
        <v/>
      </c>
      <c r="AF77" s="8" t="str">
        <f t="shared" si="20"/>
        <v/>
      </c>
      <c r="AH77" s="8" t="str">
        <f t="shared" si="21"/>
        <v/>
      </c>
      <c r="AI77" s="8" t="str">
        <f t="shared" si="22"/>
        <v/>
      </c>
    </row>
    <row r="78" spans="4:35" x14ac:dyDescent="0.2">
      <c r="D78" t="str">
        <f>IF(A78="","",VLOOKUP(A78,Lists!$A:$B,2,FALSE))</f>
        <v/>
      </c>
      <c r="W78" s="8" t="str">
        <f t="shared" si="16"/>
        <v/>
      </c>
      <c r="Y78" s="8" t="str">
        <f t="shared" si="17"/>
        <v/>
      </c>
      <c r="Z78" s="8" t="str">
        <f t="shared" si="18"/>
        <v/>
      </c>
      <c r="AD78" t="str">
        <f t="shared" si="19"/>
        <v/>
      </c>
      <c r="AF78" s="8" t="str">
        <f t="shared" si="20"/>
        <v/>
      </c>
      <c r="AH78" s="8" t="str">
        <f t="shared" si="21"/>
        <v/>
      </c>
      <c r="AI78" s="8" t="str">
        <f t="shared" si="22"/>
        <v/>
      </c>
    </row>
    <row r="79" spans="4:35" x14ac:dyDescent="0.2">
      <c r="D79" t="str">
        <f>IF(A79="","",VLOOKUP(A79,Lists!$A:$B,2,FALSE))</f>
        <v/>
      </c>
      <c r="W79" s="8" t="str">
        <f t="shared" si="16"/>
        <v/>
      </c>
      <c r="Y79" s="8" t="str">
        <f t="shared" si="17"/>
        <v/>
      </c>
      <c r="Z79" s="8" t="str">
        <f t="shared" si="18"/>
        <v/>
      </c>
      <c r="AD79" t="str">
        <f t="shared" si="19"/>
        <v/>
      </c>
      <c r="AF79" s="8" t="str">
        <f t="shared" si="20"/>
        <v/>
      </c>
      <c r="AH79" s="8" t="str">
        <f t="shared" si="21"/>
        <v/>
      </c>
      <c r="AI79" s="8" t="str">
        <f t="shared" si="22"/>
        <v/>
      </c>
    </row>
    <row r="80" spans="4:35" x14ac:dyDescent="0.2">
      <c r="D80" t="str">
        <f>IF(A80="","",VLOOKUP(A80,Lists!$A:$B,2,FALSE))</f>
        <v/>
      </c>
      <c r="W80" s="8" t="str">
        <f t="shared" si="16"/>
        <v/>
      </c>
      <c r="Y80" s="8" t="str">
        <f t="shared" si="17"/>
        <v/>
      </c>
      <c r="Z80" s="8" t="str">
        <f t="shared" si="18"/>
        <v/>
      </c>
      <c r="AD80" t="str">
        <f t="shared" si="19"/>
        <v/>
      </c>
      <c r="AF80" s="8" t="str">
        <f t="shared" si="20"/>
        <v/>
      </c>
      <c r="AH80" s="8" t="str">
        <f t="shared" si="21"/>
        <v/>
      </c>
      <c r="AI80" s="8" t="str">
        <f t="shared" si="22"/>
        <v/>
      </c>
    </row>
    <row r="81" spans="4:35" x14ac:dyDescent="0.2">
      <c r="D81" t="str">
        <f>IF(A81="","",VLOOKUP(A81,Lists!$A:$B,2,FALSE))</f>
        <v/>
      </c>
      <c r="W81" s="8" t="str">
        <f t="shared" si="16"/>
        <v/>
      </c>
      <c r="Y81" s="8" t="str">
        <f t="shared" si="17"/>
        <v/>
      </c>
      <c r="Z81" s="8" t="str">
        <f t="shared" si="18"/>
        <v/>
      </c>
      <c r="AD81" t="str">
        <f t="shared" si="19"/>
        <v/>
      </c>
      <c r="AF81" s="8" t="str">
        <f t="shared" si="20"/>
        <v/>
      </c>
      <c r="AH81" s="8" t="str">
        <f t="shared" si="21"/>
        <v/>
      </c>
      <c r="AI81" s="8" t="str">
        <f t="shared" si="22"/>
        <v/>
      </c>
    </row>
    <row r="82" spans="4:35" x14ac:dyDescent="0.2">
      <c r="D82" t="str">
        <f>IF(A82="","",VLOOKUP(A82,Lists!$A:$B,2,FALSE))</f>
        <v/>
      </c>
      <c r="W82" s="8" t="str">
        <f t="shared" si="16"/>
        <v/>
      </c>
      <c r="Y82" s="8" t="str">
        <f t="shared" si="17"/>
        <v/>
      </c>
      <c r="Z82" s="8" t="str">
        <f t="shared" si="18"/>
        <v/>
      </c>
      <c r="AD82" t="str">
        <f t="shared" si="19"/>
        <v/>
      </c>
      <c r="AF82" s="8" t="str">
        <f t="shared" si="20"/>
        <v/>
      </c>
      <c r="AH82" s="8" t="str">
        <f t="shared" si="21"/>
        <v/>
      </c>
      <c r="AI82" s="8" t="str">
        <f t="shared" si="22"/>
        <v/>
      </c>
    </row>
    <row r="83" spans="4:35" x14ac:dyDescent="0.2">
      <c r="D83" t="str">
        <f>IF(A83="","",VLOOKUP(A83,Lists!$A:$B,2,FALSE))</f>
        <v/>
      </c>
      <c r="W83" s="8" t="str">
        <f t="shared" si="16"/>
        <v/>
      </c>
      <c r="Y83" s="8" t="str">
        <f t="shared" si="17"/>
        <v/>
      </c>
      <c r="Z83" s="8" t="str">
        <f t="shared" si="18"/>
        <v/>
      </c>
      <c r="AD83" t="str">
        <f t="shared" si="19"/>
        <v/>
      </c>
      <c r="AF83" s="8" t="str">
        <f t="shared" si="20"/>
        <v/>
      </c>
      <c r="AH83" s="8" t="str">
        <f t="shared" si="21"/>
        <v/>
      </c>
      <c r="AI83" s="8" t="str">
        <f t="shared" si="22"/>
        <v/>
      </c>
    </row>
    <row r="84" spans="4:35" x14ac:dyDescent="0.2">
      <c r="D84" t="str">
        <f>IF(A84="","",VLOOKUP(A84,Lists!$A:$B,2,FALSE))</f>
        <v/>
      </c>
      <c r="W84" s="8" t="str">
        <f t="shared" si="16"/>
        <v/>
      </c>
      <c r="Y84" s="8" t="str">
        <f t="shared" si="17"/>
        <v/>
      </c>
      <c r="Z84" s="8" t="str">
        <f t="shared" si="18"/>
        <v/>
      </c>
      <c r="AD84" t="str">
        <f t="shared" si="19"/>
        <v/>
      </c>
      <c r="AF84" s="8" t="str">
        <f t="shared" si="20"/>
        <v/>
      </c>
      <c r="AH84" s="8" t="str">
        <f t="shared" si="21"/>
        <v/>
      </c>
      <c r="AI84" s="8" t="str">
        <f t="shared" si="22"/>
        <v/>
      </c>
    </row>
    <row r="85" spans="4:35" x14ac:dyDescent="0.2">
      <c r="D85" t="str">
        <f>IF(A85="","",VLOOKUP(A85,Lists!$A:$B,2,FALSE))</f>
        <v/>
      </c>
      <c r="W85" s="8" t="str">
        <f t="shared" si="16"/>
        <v/>
      </c>
      <c r="Y85" s="8" t="str">
        <f t="shared" si="17"/>
        <v/>
      </c>
      <c r="Z85" s="8" t="str">
        <f t="shared" si="18"/>
        <v/>
      </c>
      <c r="AD85" t="str">
        <f t="shared" si="19"/>
        <v/>
      </c>
      <c r="AF85" s="8" t="str">
        <f t="shared" si="20"/>
        <v/>
      </c>
      <c r="AH85" s="8" t="str">
        <f t="shared" si="21"/>
        <v/>
      </c>
      <c r="AI85" s="8" t="str">
        <f t="shared" si="22"/>
        <v/>
      </c>
    </row>
    <row r="86" spans="4:35" x14ac:dyDescent="0.2">
      <c r="D86" t="str">
        <f>IF(A86="","",VLOOKUP(A86,Lists!$A:$B,2,FALSE))</f>
        <v/>
      </c>
      <c r="W86" s="8" t="str">
        <f t="shared" si="16"/>
        <v/>
      </c>
      <c r="Y86" s="8" t="str">
        <f t="shared" si="17"/>
        <v/>
      </c>
      <c r="Z86" s="8" t="str">
        <f t="shared" si="18"/>
        <v/>
      </c>
      <c r="AD86" t="str">
        <f t="shared" si="19"/>
        <v/>
      </c>
      <c r="AF86" s="8" t="str">
        <f t="shared" si="20"/>
        <v/>
      </c>
      <c r="AH86" s="8" t="str">
        <f t="shared" si="21"/>
        <v/>
      </c>
      <c r="AI86" s="8" t="str">
        <f t="shared" si="22"/>
        <v/>
      </c>
    </row>
    <row r="87" spans="4:35" x14ac:dyDescent="0.2">
      <c r="D87" t="str">
        <f>IF(A87="","",VLOOKUP(A87,Lists!$A:$B,2,FALSE))</f>
        <v/>
      </c>
      <c r="W87" s="8" t="str">
        <f t="shared" si="16"/>
        <v/>
      </c>
      <c r="Y87" s="8" t="str">
        <f t="shared" si="17"/>
        <v/>
      </c>
      <c r="Z87" s="8" t="str">
        <f t="shared" si="18"/>
        <v/>
      </c>
      <c r="AD87" t="str">
        <f t="shared" si="19"/>
        <v/>
      </c>
      <c r="AF87" s="8" t="str">
        <f t="shared" si="20"/>
        <v/>
      </c>
      <c r="AH87" s="8" t="str">
        <f t="shared" si="21"/>
        <v/>
      </c>
      <c r="AI87" s="8" t="str">
        <f t="shared" si="22"/>
        <v/>
      </c>
    </row>
    <row r="88" spans="4:35" x14ac:dyDescent="0.2">
      <c r="D88" t="str">
        <f>IF(A88="","",VLOOKUP(A88,Lists!$A:$B,2,FALSE))</f>
        <v/>
      </c>
      <c r="W88" s="8" t="str">
        <f t="shared" si="16"/>
        <v/>
      </c>
      <c r="Y88" s="8" t="str">
        <f t="shared" si="17"/>
        <v/>
      </c>
      <c r="Z88" s="8" t="str">
        <f t="shared" si="18"/>
        <v/>
      </c>
      <c r="AD88" t="str">
        <f t="shared" si="19"/>
        <v/>
      </c>
      <c r="AF88" s="8" t="str">
        <f t="shared" si="20"/>
        <v/>
      </c>
      <c r="AH88" s="8" t="str">
        <f t="shared" si="21"/>
        <v/>
      </c>
      <c r="AI88" s="8" t="str">
        <f t="shared" si="22"/>
        <v/>
      </c>
    </row>
    <row r="89" spans="4:35" x14ac:dyDescent="0.2">
      <c r="D89" t="str">
        <f>IF(A89="","",VLOOKUP(A89,Lists!$A:$B,2,FALSE))</f>
        <v/>
      </c>
      <c r="W89" s="8" t="str">
        <f t="shared" si="16"/>
        <v/>
      </c>
      <c r="Y89" s="8" t="str">
        <f t="shared" si="17"/>
        <v/>
      </c>
      <c r="Z89" s="8" t="str">
        <f t="shared" si="18"/>
        <v/>
      </c>
      <c r="AD89" t="str">
        <f t="shared" si="19"/>
        <v/>
      </c>
      <c r="AF89" s="8" t="str">
        <f t="shared" si="20"/>
        <v/>
      </c>
      <c r="AH89" s="8" t="str">
        <f t="shared" si="21"/>
        <v/>
      </c>
      <c r="AI89" s="8" t="str">
        <f t="shared" si="22"/>
        <v/>
      </c>
    </row>
    <row r="90" spans="4:35" x14ac:dyDescent="0.2">
      <c r="D90" t="str">
        <f>IF(A90="","",VLOOKUP(A90,Lists!$A:$B,2,FALSE))</f>
        <v/>
      </c>
      <c r="W90" s="8" t="str">
        <f t="shared" si="16"/>
        <v/>
      </c>
      <c r="Y90" s="8" t="str">
        <f t="shared" si="17"/>
        <v/>
      </c>
      <c r="Z90" s="8" t="str">
        <f t="shared" si="18"/>
        <v/>
      </c>
      <c r="AD90" t="str">
        <f t="shared" si="19"/>
        <v/>
      </c>
      <c r="AF90" s="8" t="str">
        <f t="shared" si="20"/>
        <v/>
      </c>
      <c r="AH90" s="8" t="str">
        <f t="shared" si="21"/>
        <v/>
      </c>
      <c r="AI90" s="8" t="str">
        <f t="shared" si="22"/>
        <v/>
      </c>
    </row>
    <row r="91" spans="4:35" x14ac:dyDescent="0.2">
      <c r="D91" t="str">
        <f>IF(A91="","",VLOOKUP(A91,Lists!$A:$B,2,FALSE))</f>
        <v/>
      </c>
      <c r="W91" s="8" t="str">
        <f t="shared" si="16"/>
        <v/>
      </c>
      <c r="Y91" s="8" t="str">
        <f t="shared" si="17"/>
        <v/>
      </c>
      <c r="Z91" s="8" t="str">
        <f t="shared" si="18"/>
        <v/>
      </c>
      <c r="AD91" t="str">
        <f t="shared" si="19"/>
        <v/>
      </c>
      <c r="AF91" s="8" t="str">
        <f t="shared" si="20"/>
        <v/>
      </c>
      <c r="AH91" s="8" t="str">
        <f t="shared" si="21"/>
        <v/>
      </c>
      <c r="AI91" s="8" t="str">
        <f t="shared" si="22"/>
        <v/>
      </c>
    </row>
    <row r="92" spans="4:35" x14ac:dyDescent="0.2">
      <c r="D92" t="str">
        <f>IF(A92="","",VLOOKUP(A92,Lists!$A:$B,2,FALSE))</f>
        <v/>
      </c>
      <c r="W92" s="8" t="str">
        <f t="shared" si="16"/>
        <v/>
      </c>
      <c r="Y92" s="8" t="str">
        <f t="shared" si="17"/>
        <v/>
      </c>
      <c r="Z92" s="8" t="str">
        <f t="shared" si="18"/>
        <v/>
      </c>
      <c r="AD92" t="str">
        <f t="shared" si="19"/>
        <v/>
      </c>
      <c r="AF92" s="8" t="str">
        <f t="shared" si="20"/>
        <v/>
      </c>
      <c r="AH92" s="8" t="str">
        <f t="shared" si="21"/>
        <v/>
      </c>
      <c r="AI92" s="8" t="str">
        <f t="shared" si="22"/>
        <v/>
      </c>
    </row>
    <row r="93" spans="4:35" x14ac:dyDescent="0.2">
      <c r="D93" t="str">
        <f>IF(A93="","",VLOOKUP(A93,Lists!$A:$B,2,FALSE))</f>
        <v/>
      </c>
      <c r="W93" s="8" t="str">
        <f t="shared" si="16"/>
        <v/>
      </c>
      <c r="Y93" s="8" t="str">
        <f t="shared" si="17"/>
        <v/>
      </c>
      <c r="Z93" s="8" t="str">
        <f t="shared" si="18"/>
        <v/>
      </c>
      <c r="AD93" t="str">
        <f t="shared" si="19"/>
        <v/>
      </c>
      <c r="AF93" s="8" t="str">
        <f t="shared" si="20"/>
        <v/>
      </c>
      <c r="AH93" s="8" t="str">
        <f t="shared" si="21"/>
        <v/>
      </c>
      <c r="AI93" s="8" t="str">
        <f t="shared" si="22"/>
        <v/>
      </c>
    </row>
    <row r="94" spans="4:35" x14ac:dyDescent="0.2">
      <c r="D94" t="str">
        <f>IF(A94="","",VLOOKUP(A94,Lists!$A:$B,2,FALSE))</f>
        <v/>
      </c>
      <c r="W94" s="8" t="str">
        <f t="shared" si="16"/>
        <v/>
      </c>
      <c r="Y94" s="8" t="str">
        <f t="shared" si="17"/>
        <v/>
      </c>
      <c r="Z94" s="8" t="str">
        <f t="shared" si="18"/>
        <v/>
      </c>
      <c r="AD94" t="str">
        <f t="shared" si="19"/>
        <v/>
      </c>
      <c r="AF94" s="8" t="str">
        <f t="shared" si="20"/>
        <v/>
      </c>
      <c r="AH94" s="8" t="str">
        <f t="shared" si="21"/>
        <v/>
      </c>
      <c r="AI94" s="8" t="str">
        <f t="shared" si="22"/>
        <v/>
      </c>
    </row>
    <row r="95" spans="4:35" x14ac:dyDescent="0.2">
      <c r="D95" t="str">
        <f>IF(A95="","",VLOOKUP(A95,Lists!$A:$B,2,FALSE))</f>
        <v/>
      </c>
      <c r="W95" s="8" t="str">
        <f t="shared" si="16"/>
        <v/>
      </c>
      <c r="Y95" s="8" t="str">
        <f t="shared" si="17"/>
        <v/>
      </c>
      <c r="Z95" s="8" t="str">
        <f t="shared" si="18"/>
        <v/>
      </c>
      <c r="AD95" t="str">
        <f t="shared" si="19"/>
        <v/>
      </c>
      <c r="AF95" s="8" t="str">
        <f t="shared" si="20"/>
        <v/>
      </c>
      <c r="AH95" s="8" t="str">
        <f t="shared" si="21"/>
        <v/>
      </c>
      <c r="AI95" s="8" t="str">
        <f t="shared" si="22"/>
        <v/>
      </c>
    </row>
    <row r="96" spans="4:35" x14ac:dyDescent="0.2">
      <c r="D96" t="str">
        <f>IF(A96="","",VLOOKUP(A96,Lists!$A:$B,2,FALSE))</f>
        <v/>
      </c>
      <c r="W96" s="8" t="str">
        <f t="shared" si="16"/>
        <v/>
      </c>
      <c r="Y96" s="8" t="str">
        <f t="shared" si="17"/>
        <v/>
      </c>
      <c r="Z96" s="8" t="str">
        <f t="shared" si="18"/>
        <v/>
      </c>
      <c r="AD96" t="str">
        <f t="shared" si="19"/>
        <v/>
      </c>
      <c r="AF96" s="8" t="str">
        <f t="shared" si="20"/>
        <v/>
      </c>
      <c r="AH96" s="8" t="str">
        <f t="shared" si="21"/>
        <v/>
      </c>
      <c r="AI96" s="8" t="str">
        <f t="shared" si="22"/>
        <v/>
      </c>
    </row>
    <row r="97" spans="4:35" x14ac:dyDescent="0.2">
      <c r="D97" t="str">
        <f>IF(A97="","",VLOOKUP(A97,Lists!$A:$B,2,FALSE))</f>
        <v/>
      </c>
      <c r="W97" s="8" t="str">
        <f t="shared" si="16"/>
        <v/>
      </c>
      <c r="Y97" s="8" t="str">
        <f t="shared" si="17"/>
        <v/>
      </c>
      <c r="Z97" s="8" t="str">
        <f t="shared" si="18"/>
        <v/>
      </c>
      <c r="AD97" t="str">
        <f t="shared" si="19"/>
        <v/>
      </c>
      <c r="AF97" s="8" t="str">
        <f t="shared" si="20"/>
        <v/>
      </c>
      <c r="AH97" s="8" t="str">
        <f t="shared" si="21"/>
        <v/>
      </c>
      <c r="AI97" s="8" t="str">
        <f t="shared" si="22"/>
        <v/>
      </c>
    </row>
    <row r="98" spans="4:35" x14ac:dyDescent="0.2">
      <c r="D98" t="str">
        <f>IF(A98="","",VLOOKUP(A98,Lists!$A:$B,2,FALSE))</f>
        <v/>
      </c>
      <c r="W98" s="8" t="str">
        <f t="shared" ref="W98:W129" si="23">IF(AND(U98&lt;&gt;"",V98&lt;&gt;""),U98*V98,"")</f>
        <v/>
      </c>
      <c r="Y98" s="8" t="str">
        <f t="shared" ref="Y98:Y129" si="24">IF(AND(W98&lt;&gt;"",X98&lt;&gt;""),W98*X98,"")</f>
        <v/>
      </c>
      <c r="Z98" s="8" t="str">
        <f t="shared" ref="Z98:Z129" si="25">IF(AND(W98&lt;&gt;"",Y98&lt;&gt;""),W98+Y98,"")</f>
        <v/>
      </c>
      <c r="AD98" t="str">
        <f t="shared" ref="AD98:AD129" si="26">IF($B98="GWE_Item",IF($AA98="Elektra",SUMIFS($O:$O,$A:$A,$A98,$B:$B,"GWE")-SUMIFS($N:$N,$A:$A,$A98,$B:$B,"GWE"),IF($AA98="Gas",SUMIFS($Q:$Q,$A:$A,$A98,$B:$B,"GWE")-SUMIFS($P:$P,$A:$A,$A98,$B:$B,"GWE"),IF($AA98="Water",SUMIFS($S:$S,$A:$A,$A98,$B:$B,"GWE")-SUMIFS($R:$R,$A:$A,$A98,$B:$B,"GWE"),""))),"")</f>
        <v/>
      </c>
      <c r="AF98" s="8" t="str">
        <f t="shared" ref="AF98:AF129" si="27">IF(AND(AD98&lt;&gt;"",AE98&lt;&gt;""),AD98*AE98,"")</f>
        <v/>
      </c>
      <c r="AH98" s="8" t="str">
        <f t="shared" ref="AH98:AH129" si="28">IF(AND(AF98&lt;&gt;"",AG98&lt;&gt;""),AF98*AG98,"")</f>
        <v/>
      </c>
      <c r="AI98" s="8" t="str">
        <f t="shared" ref="AI98:AI129" si="29">IF(AND(AF98&lt;&gt;"",AH98&lt;&gt;""),AF98+AH98,"")</f>
        <v/>
      </c>
    </row>
    <row r="99" spans="4:35" x14ac:dyDescent="0.2">
      <c r="D99" t="str">
        <f>IF(A99="","",VLOOKUP(A99,Lists!$A:$B,2,FALSE))</f>
        <v/>
      </c>
      <c r="W99" s="8" t="str">
        <f t="shared" si="23"/>
        <v/>
      </c>
      <c r="Y99" s="8" t="str">
        <f t="shared" si="24"/>
        <v/>
      </c>
      <c r="Z99" s="8" t="str">
        <f t="shared" si="25"/>
        <v/>
      </c>
      <c r="AD99" t="str">
        <f t="shared" si="26"/>
        <v/>
      </c>
      <c r="AF99" s="8" t="str">
        <f t="shared" si="27"/>
        <v/>
      </c>
      <c r="AH99" s="8" t="str">
        <f t="shared" si="28"/>
        <v/>
      </c>
      <c r="AI99" s="8" t="str">
        <f t="shared" si="29"/>
        <v/>
      </c>
    </row>
    <row r="100" spans="4:35" x14ac:dyDescent="0.2">
      <c r="D100" t="str">
        <f>IF(A100="","",VLOOKUP(A100,Lists!$A:$B,2,FALSE))</f>
        <v/>
      </c>
      <c r="W100" s="8" t="str">
        <f t="shared" si="23"/>
        <v/>
      </c>
      <c r="Y100" s="8" t="str">
        <f t="shared" si="24"/>
        <v/>
      </c>
      <c r="Z100" s="8" t="str">
        <f t="shared" si="25"/>
        <v/>
      </c>
      <c r="AD100" t="str">
        <f t="shared" si="26"/>
        <v/>
      </c>
      <c r="AF100" s="8" t="str">
        <f t="shared" si="27"/>
        <v/>
      </c>
      <c r="AH100" s="8" t="str">
        <f t="shared" si="28"/>
        <v/>
      </c>
      <c r="AI100" s="8" t="str">
        <f t="shared" si="29"/>
        <v/>
      </c>
    </row>
    <row r="101" spans="4:35" x14ac:dyDescent="0.2">
      <c r="D101" t="str">
        <f>IF(A101="","",VLOOKUP(A101,Lists!$A:$B,2,FALSE))</f>
        <v/>
      </c>
      <c r="W101" s="8" t="str">
        <f t="shared" si="23"/>
        <v/>
      </c>
      <c r="Y101" s="8" t="str">
        <f t="shared" si="24"/>
        <v/>
      </c>
      <c r="Z101" s="8" t="str">
        <f t="shared" si="25"/>
        <v/>
      </c>
      <c r="AD101" t="str">
        <f t="shared" si="26"/>
        <v/>
      </c>
      <c r="AF101" s="8" t="str">
        <f t="shared" si="27"/>
        <v/>
      </c>
      <c r="AH101" s="8" t="str">
        <f t="shared" si="28"/>
        <v/>
      </c>
      <c r="AI101" s="8" t="str">
        <f t="shared" si="29"/>
        <v/>
      </c>
    </row>
    <row r="102" spans="4:35" x14ac:dyDescent="0.2">
      <c r="D102" t="str">
        <f>IF(A102="","",VLOOKUP(A102,Lists!$A:$B,2,FALSE))</f>
        <v/>
      </c>
      <c r="W102" s="8" t="str">
        <f t="shared" si="23"/>
        <v/>
      </c>
      <c r="Y102" s="8" t="str">
        <f t="shared" si="24"/>
        <v/>
      </c>
      <c r="Z102" s="8" t="str">
        <f t="shared" si="25"/>
        <v/>
      </c>
      <c r="AD102" t="str">
        <f t="shared" si="26"/>
        <v/>
      </c>
      <c r="AF102" s="8" t="str">
        <f t="shared" si="27"/>
        <v/>
      </c>
      <c r="AH102" s="8" t="str">
        <f t="shared" si="28"/>
        <v/>
      </c>
      <c r="AI102" s="8" t="str">
        <f t="shared" si="29"/>
        <v/>
      </c>
    </row>
    <row r="103" spans="4:35" x14ac:dyDescent="0.2">
      <c r="D103" t="str">
        <f>IF(A103="","",VLOOKUP(A103,Lists!$A:$B,2,FALSE))</f>
        <v/>
      </c>
      <c r="W103" s="8" t="str">
        <f t="shared" si="23"/>
        <v/>
      </c>
      <c r="Y103" s="8" t="str">
        <f t="shared" si="24"/>
        <v/>
      </c>
      <c r="Z103" s="8" t="str">
        <f t="shared" si="25"/>
        <v/>
      </c>
      <c r="AD103" t="str">
        <f t="shared" si="26"/>
        <v/>
      </c>
      <c r="AF103" s="8" t="str">
        <f t="shared" si="27"/>
        <v/>
      </c>
      <c r="AH103" s="8" t="str">
        <f t="shared" si="28"/>
        <v/>
      </c>
      <c r="AI103" s="8" t="str">
        <f t="shared" si="29"/>
        <v/>
      </c>
    </row>
    <row r="104" spans="4:35" x14ac:dyDescent="0.2">
      <c r="D104" t="str">
        <f>IF(A104="","",VLOOKUP(A104,Lists!$A:$B,2,FALSE))</f>
        <v/>
      </c>
      <c r="W104" s="8" t="str">
        <f t="shared" si="23"/>
        <v/>
      </c>
      <c r="Y104" s="8" t="str">
        <f t="shared" si="24"/>
        <v/>
      </c>
      <c r="Z104" s="8" t="str">
        <f t="shared" si="25"/>
        <v/>
      </c>
      <c r="AD104" t="str">
        <f t="shared" si="26"/>
        <v/>
      </c>
      <c r="AF104" s="8" t="str">
        <f t="shared" si="27"/>
        <v/>
      </c>
      <c r="AH104" s="8" t="str">
        <f t="shared" si="28"/>
        <v/>
      </c>
      <c r="AI104" s="8" t="str">
        <f t="shared" si="29"/>
        <v/>
      </c>
    </row>
    <row r="105" spans="4:35" x14ac:dyDescent="0.2">
      <c r="D105" t="str">
        <f>IF(A105="","",VLOOKUP(A105,Lists!$A:$B,2,FALSE))</f>
        <v/>
      </c>
      <c r="W105" s="8" t="str">
        <f t="shared" si="23"/>
        <v/>
      </c>
      <c r="Y105" s="8" t="str">
        <f t="shared" si="24"/>
        <v/>
      </c>
      <c r="Z105" s="8" t="str">
        <f t="shared" si="25"/>
        <v/>
      </c>
      <c r="AD105" t="str">
        <f t="shared" si="26"/>
        <v/>
      </c>
      <c r="AF105" s="8" t="str">
        <f t="shared" si="27"/>
        <v/>
      </c>
      <c r="AH105" s="8" t="str">
        <f t="shared" si="28"/>
        <v/>
      </c>
      <c r="AI105" s="8" t="str">
        <f t="shared" si="29"/>
        <v/>
      </c>
    </row>
    <row r="106" spans="4:35" x14ac:dyDescent="0.2">
      <c r="D106" t="str">
        <f>IF(A106="","",VLOOKUP(A106,Lists!$A:$B,2,FALSE))</f>
        <v/>
      </c>
      <c r="W106" s="8" t="str">
        <f t="shared" si="23"/>
        <v/>
      </c>
      <c r="Y106" s="8" t="str">
        <f t="shared" si="24"/>
        <v/>
      </c>
      <c r="Z106" s="8" t="str">
        <f t="shared" si="25"/>
        <v/>
      </c>
      <c r="AD106" t="str">
        <f t="shared" si="26"/>
        <v/>
      </c>
      <c r="AF106" s="8" t="str">
        <f t="shared" si="27"/>
        <v/>
      </c>
      <c r="AH106" s="8" t="str">
        <f t="shared" si="28"/>
        <v/>
      </c>
      <c r="AI106" s="8" t="str">
        <f t="shared" si="29"/>
        <v/>
      </c>
    </row>
    <row r="107" spans="4:35" x14ac:dyDescent="0.2">
      <c r="D107" t="str">
        <f>IF(A107="","",VLOOKUP(A107,Lists!$A:$B,2,FALSE))</f>
        <v/>
      </c>
      <c r="W107" s="8" t="str">
        <f t="shared" si="23"/>
        <v/>
      </c>
      <c r="Y107" s="8" t="str">
        <f t="shared" si="24"/>
        <v/>
      </c>
      <c r="Z107" s="8" t="str">
        <f t="shared" si="25"/>
        <v/>
      </c>
      <c r="AD107" t="str">
        <f t="shared" si="26"/>
        <v/>
      </c>
      <c r="AF107" s="8" t="str">
        <f t="shared" si="27"/>
        <v/>
      </c>
      <c r="AH107" s="8" t="str">
        <f t="shared" si="28"/>
        <v/>
      </c>
      <c r="AI107" s="8" t="str">
        <f t="shared" si="29"/>
        <v/>
      </c>
    </row>
    <row r="108" spans="4:35" x14ac:dyDescent="0.2">
      <c r="D108" t="str">
        <f>IF(A108="","",VLOOKUP(A108,Lists!$A:$B,2,FALSE))</f>
        <v/>
      </c>
      <c r="W108" s="8" t="str">
        <f t="shared" si="23"/>
        <v/>
      </c>
      <c r="Y108" s="8" t="str">
        <f t="shared" si="24"/>
        <v/>
      </c>
      <c r="Z108" s="8" t="str">
        <f t="shared" si="25"/>
        <v/>
      </c>
      <c r="AD108" t="str">
        <f t="shared" si="26"/>
        <v/>
      </c>
      <c r="AF108" s="8" t="str">
        <f t="shared" si="27"/>
        <v/>
      </c>
      <c r="AH108" s="8" t="str">
        <f t="shared" si="28"/>
        <v/>
      </c>
      <c r="AI108" s="8" t="str">
        <f t="shared" si="29"/>
        <v/>
      </c>
    </row>
    <row r="109" spans="4:35" x14ac:dyDescent="0.2">
      <c r="D109" t="str">
        <f>IF(A109="","",VLOOKUP(A109,Lists!$A:$B,2,FALSE))</f>
        <v/>
      </c>
      <c r="W109" s="8" t="str">
        <f t="shared" si="23"/>
        <v/>
      </c>
      <c r="Y109" s="8" t="str">
        <f t="shared" si="24"/>
        <v/>
      </c>
      <c r="Z109" s="8" t="str">
        <f t="shared" si="25"/>
        <v/>
      </c>
      <c r="AD109" t="str">
        <f t="shared" si="26"/>
        <v/>
      </c>
      <c r="AF109" s="8" t="str">
        <f t="shared" si="27"/>
        <v/>
      </c>
      <c r="AH109" s="8" t="str">
        <f t="shared" si="28"/>
        <v/>
      </c>
      <c r="AI109" s="8" t="str">
        <f t="shared" si="29"/>
        <v/>
      </c>
    </row>
    <row r="110" spans="4:35" x14ac:dyDescent="0.2">
      <c r="D110" t="str">
        <f>IF(A110="","",VLOOKUP(A110,Lists!$A:$B,2,FALSE))</f>
        <v/>
      </c>
      <c r="W110" s="8" t="str">
        <f t="shared" si="23"/>
        <v/>
      </c>
      <c r="Y110" s="8" t="str">
        <f t="shared" si="24"/>
        <v/>
      </c>
      <c r="Z110" s="8" t="str">
        <f t="shared" si="25"/>
        <v/>
      </c>
      <c r="AD110" t="str">
        <f t="shared" si="26"/>
        <v/>
      </c>
      <c r="AF110" s="8" t="str">
        <f t="shared" si="27"/>
        <v/>
      </c>
      <c r="AH110" s="8" t="str">
        <f t="shared" si="28"/>
        <v/>
      </c>
      <c r="AI110" s="8" t="str">
        <f t="shared" si="29"/>
        <v/>
      </c>
    </row>
    <row r="111" spans="4:35" x14ac:dyDescent="0.2">
      <c r="D111" t="str">
        <f>IF(A111="","",VLOOKUP(A111,Lists!$A:$B,2,FALSE))</f>
        <v/>
      </c>
      <c r="W111" s="8" t="str">
        <f t="shared" si="23"/>
        <v/>
      </c>
      <c r="Y111" s="8" t="str">
        <f t="shared" si="24"/>
        <v/>
      </c>
      <c r="Z111" s="8" t="str">
        <f t="shared" si="25"/>
        <v/>
      </c>
      <c r="AD111" t="str">
        <f t="shared" si="26"/>
        <v/>
      </c>
      <c r="AF111" s="8" t="str">
        <f t="shared" si="27"/>
        <v/>
      </c>
      <c r="AH111" s="8" t="str">
        <f t="shared" si="28"/>
        <v/>
      </c>
      <c r="AI111" s="8" t="str">
        <f t="shared" si="29"/>
        <v/>
      </c>
    </row>
    <row r="112" spans="4:35" x14ac:dyDescent="0.2">
      <c r="D112" t="str">
        <f>IF(A112="","",VLOOKUP(A112,Lists!$A:$B,2,FALSE))</f>
        <v/>
      </c>
      <c r="W112" s="8" t="str">
        <f t="shared" si="23"/>
        <v/>
      </c>
      <c r="Y112" s="8" t="str">
        <f t="shared" si="24"/>
        <v/>
      </c>
      <c r="Z112" s="8" t="str">
        <f t="shared" si="25"/>
        <v/>
      </c>
      <c r="AD112" t="str">
        <f t="shared" si="26"/>
        <v/>
      </c>
      <c r="AF112" s="8" t="str">
        <f t="shared" si="27"/>
        <v/>
      </c>
      <c r="AH112" s="8" t="str">
        <f t="shared" si="28"/>
        <v/>
      </c>
      <c r="AI112" s="8" t="str">
        <f t="shared" si="29"/>
        <v/>
      </c>
    </row>
    <row r="113" spans="4:35" x14ac:dyDescent="0.2">
      <c r="D113" t="str">
        <f>IF(A113="","",VLOOKUP(A113,Lists!$A:$B,2,FALSE))</f>
        <v/>
      </c>
      <c r="W113" s="8" t="str">
        <f t="shared" si="23"/>
        <v/>
      </c>
      <c r="Y113" s="8" t="str">
        <f t="shared" si="24"/>
        <v/>
      </c>
      <c r="Z113" s="8" t="str">
        <f t="shared" si="25"/>
        <v/>
      </c>
      <c r="AD113" t="str">
        <f t="shared" si="26"/>
        <v/>
      </c>
      <c r="AF113" s="8" t="str">
        <f t="shared" si="27"/>
        <v/>
      </c>
      <c r="AH113" s="8" t="str">
        <f t="shared" si="28"/>
        <v/>
      </c>
      <c r="AI113" s="8" t="str">
        <f t="shared" si="29"/>
        <v/>
      </c>
    </row>
    <row r="114" spans="4:35" x14ac:dyDescent="0.2">
      <c r="D114" t="str">
        <f>IF(A114="","",VLOOKUP(A114,Lists!$A:$B,2,FALSE))</f>
        <v/>
      </c>
      <c r="W114" s="8" t="str">
        <f t="shared" si="23"/>
        <v/>
      </c>
      <c r="Y114" s="8" t="str">
        <f t="shared" si="24"/>
        <v/>
      </c>
      <c r="Z114" s="8" t="str">
        <f t="shared" si="25"/>
        <v/>
      </c>
      <c r="AD114" t="str">
        <f t="shared" si="26"/>
        <v/>
      </c>
      <c r="AF114" s="8" t="str">
        <f t="shared" si="27"/>
        <v/>
      </c>
      <c r="AH114" s="8" t="str">
        <f t="shared" si="28"/>
        <v/>
      </c>
      <c r="AI114" s="8" t="str">
        <f t="shared" si="29"/>
        <v/>
      </c>
    </row>
    <row r="115" spans="4:35" x14ac:dyDescent="0.2">
      <c r="D115" t="str">
        <f>IF(A115="","",VLOOKUP(A115,Lists!$A:$B,2,FALSE))</f>
        <v/>
      </c>
      <c r="W115" s="8" t="str">
        <f t="shared" si="23"/>
        <v/>
      </c>
      <c r="Y115" s="8" t="str">
        <f t="shared" si="24"/>
        <v/>
      </c>
      <c r="Z115" s="8" t="str">
        <f t="shared" si="25"/>
        <v/>
      </c>
      <c r="AD115" t="str">
        <f t="shared" si="26"/>
        <v/>
      </c>
      <c r="AF115" s="8" t="str">
        <f t="shared" si="27"/>
        <v/>
      </c>
      <c r="AH115" s="8" t="str">
        <f t="shared" si="28"/>
        <v/>
      </c>
      <c r="AI115" s="8" t="str">
        <f t="shared" si="29"/>
        <v/>
      </c>
    </row>
    <row r="116" spans="4:35" x14ac:dyDescent="0.2">
      <c r="D116" t="str">
        <f>IF(A116="","",VLOOKUP(A116,Lists!$A:$B,2,FALSE))</f>
        <v/>
      </c>
      <c r="W116" s="8" t="str">
        <f t="shared" si="23"/>
        <v/>
      </c>
      <c r="Y116" s="8" t="str">
        <f t="shared" si="24"/>
        <v/>
      </c>
      <c r="Z116" s="8" t="str">
        <f t="shared" si="25"/>
        <v/>
      </c>
      <c r="AD116" t="str">
        <f t="shared" si="26"/>
        <v/>
      </c>
      <c r="AF116" s="8" t="str">
        <f t="shared" si="27"/>
        <v/>
      </c>
      <c r="AH116" s="8" t="str">
        <f t="shared" si="28"/>
        <v/>
      </c>
      <c r="AI116" s="8" t="str">
        <f t="shared" si="29"/>
        <v/>
      </c>
    </row>
    <row r="117" spans="4:35" x14ac:dyDescent="0.2">
      <c r="D117" t="str">
        <f>IF(A117="","",VLOOKUP(A117,Lists!$A:$B,2,FALSE))</f>
        <v/>
      </c>
      <c r="W117" s="8" t="str">
        <f t="shared" si="23"/>
        <v/>
      </c>
      <c r="Y117" s="8" t="str">
        <f t="shared" si="24"/>
        <v/>
      </c>
      <c r="Z117" s="8" t="str">
        <f t="shared" si="25"/>
        <v/>
      </c>
      <c r="AD117" t="str">
        <f t="shared" si="26"/>
        <v/>
      </c>
      <c r="AF117" s="8" t="str">
        <f t="shared" si="27"/>
        <v/>
      </c>
      <c r="AH117" s="8" t="str">
        <f t="shared" si="28"/>
        <v/>
      </c>
      <c r="AI117" s="8" t="str">
        <f t="shared" si="29"/>
        <v/>
      </c>
    </row>
    <row r="118" spans="4:35" x14ac:dyDescent="0.2">
      <c r="D118" t="str">
        <f>IF(A118="","",VLOOKUP(A118,Lists!$A:$B,2,FALSE))</f>
        <v/>
      </c>
      <c r="W118" s="8" t="str">
        <f t="shared" si="23"/>
        <v/>
      </c>
      <c r="Y118" s="8" t="str">
        <f t="shared" si="24"/>
        <v/>
      </c>
      <c r="Z118" s="8" t="str">
        <f t="shared" si="25"/>
        <v/>
      </c>
      <c r="AD118" t="str">
        <f t="shared" si="26"/>
        <v/>
      </c>
      <c r="AF118" s="8" t="str">
        <f t="shared" si="27"/>
        <v/>
      </c>
      <c r="AH118" s="8" t="str">
        <f t="shared" si="28"/>
        <v/>
      </c>
      <c r="AI118" s="8" t="str">
        <f t="shared" si="29"/>
        <v/>
      </c>
    </row>
    <row r="119" spans="4:35" x14ac:dyDescent="0.2">
      <c r="D119" t="str">
        <f>IF(A119="","",VLOOKUP(A119,Lists!$A:$B,2,FALSE))</f>
        <v/>
      </c>
      <c r="W119" s="8" t="str">
        <f t="shared" si="23"/>
        <v/>
      </c>
      <c r="Y119" s="8" t="str">
        <f t="shared" si="24"/>
        <v/>
      </c>
      <c r="Z119" s="8" t="str">
        <f t="shared" si="25"/>
        <v/>
      </c>
      <c r="AD119" t="str">
        <f t="shared" si="26"/>
        <v/>
      </c>
      <c r="AF119" s="8" t="str">
        <f t="shared" si="27"/>
        <v/>
      </c>
      <c r="AH119" s="8" t="str">
        <f t="shared" si="28"/>
        <v/>
      </c>
      <c r="AI119" s="8" t="str">
        <f t="shared" si="29"/>
        <v/>
      </c>
    </row>
    <row r="120" spans="4:35" x14ac:dyDescent="0.2">
      <c r="D120" t="str">
        <f>IF(A120="","",VLOOKUP(A120,Lists!$A:$B,2,FALSE))</f>
        <v/>
      </c>
      <c r="W120" s="8" t="str">
        <f t="shared" si="23"/>
        <v/>
      </c>
      <c r="Y120" s="8" t="str">
        <f t="shared" si="24"/>
        <v/>
      </c>
      <c r="Z120" s="8" t="str">
        <f t="shared" si="25"/>
        <v/>
      </c>
      <c r="AD120" t="str">
        <f t="shared" si="26"/>
        <v/>
      </c>
      <c r="AF120" s="8" t="str">
        <f t="shared" si="27"/>
        <v/>
      </c>
      <c r="AH120" s="8" t="str">
        <f t="shared" si="28"/>
        <v/>
      </c>
      <c r="AI120" s="8" t="str">
        <f t="shared" si="29"/>
        <v/>
      </c>
    </row>
    <row r="121" spans="4:35" x14ac:dyDescent="0.2">
      <c r="D121" t="str">
        <f>IF(A121="","",VLOOKUP(A121,Lists!$A:$B,2,FALSE))</f>
        <v/>
      </c>
      <c r="W121" s="8" t="str">
        <f t="shared" si="23"/>
        <v/>
      </c>
      <c r="Y121" s="8" t="str">
        <f t="shared" si="24"/>
        <v/>
      </c>
      <c r="Z121" s="8" t="str">
        <f t="shared" si="25"/>
        <v/>
      </c>
      <c r="AD121" t="str">
        <f t="shared" si="26"/>
        <v/>
      </c>
      <c r="AF121" s="8" t="str">
        <f t="shared" si="27"/>
        <v/>
      </c>
      <c r="AH121" s="8" t="str">
        <f t="shared" si="28"/>
        <v/>
      </c>
      <c r="AI121" s="8" t="str">
        <f t="shared" si="29"/>
        <v/>
      </c>
    </row>
    <row r="122" spans="4:35" x14ac:dyDescent="0.2">
      <c r="D122" t="str">
        <f>IF(A122="","",VLOOKUP(A122,Lists!$A:$B,2,FALSE))</f>
        <v/>
      </c>
      <c r="W122" s="8" t="str">
        <f t="shared" si="23"/>
        <v/>
      </c>
      <c r="Y122" s="8" t="str">
        <f t="shared" si="24"/>
        <v/>
      </c>
      <c r="Z122" s="8" t="str">
        <f t="shared" si="25"/>
        <v/>
      </c>
      <c r="AD122" t="str">
        <f t="shared" si="26"/>
        <v/>
      </c>
      <c r="AF122" s="8" t="str">
        <f t="shared" si="27"/>
        <v/>
      </c>
      <c r="AH122" s="8" t="str">
        <f t="shared" si="28"/>
        <v/>
      </c>
      <c r="AI122" s="8" t="str">
        <f t="shared" si="29"/>
        <v/>
      </c>
    </row>
    <row r="123" spans="4:35" x14ac:dyDescent="0.2">
      <c r="D123" t="str">
        <f>IF(A123="","",VLOOKUP(A123,Lists!$A:$B,2,FALSE))</f>
        <v/>
      </c>
      <c r="W123" s="8" t="str">
        <f t="shared" si="23"/>
        <v/>
      </c>
      <c r="Y123" s="8" t="str">
        <f t="shared" si="24"/>
        <v/>
      </c>
      <c r="Z123" s="8" t="str">
        <f t="shared" si="25"/>
        <v/>
      </c>
      <c r="AD123" t="str">
        <f t="shared" si="26"/>
        <v/>
      </c>
      <c r="AF123" s="8" t="str">
        <f t="shared" si="27"/>
        <v/>
      </c>
      <c r="AH123" s="8" t="str">
        <f t="shared" si="28"/>
        <v/>
      </c>
      <c r="AI123" s="8" t="str">
        <f t="shared" si="29"/>
        <v/>
      </c>
    </row>
    <row r="124" spans="4:35" x14ac:dyDescent="0.2">
      <c r="D124" t="str">
        <f>IF(A124="","",VLOOKUP(A124,Lists!$A:$B,2,FALSE))</f>
        <v/>
      </c>
      <c r="W124" s="8" t="str">
        <f t="shared" si="23"/>
        <v/>
      </c>
      <c r="Y124" s="8" t="str">
        <f t="shared" si="24"/>
        <v/>
      </c>
      <c r="Z124" s="8" t="str">
        <f t="shared" si="25"/>
        <v/>
      </c>
      <c r="AD124" t="str">
        <f t="shared" si="26"/>
        <v/>
      </c>
      <c r="AF124" s="8" t="str">
        <f t="shared" si="27"/>
        <v/>
      </c>
      <c r="AH124" s="8" t="str">
        <f t="shared" si="28"/>
        <v/>
      </c>
      <c r="AI124" s="8" t="str">
        <f t="shared" si="29"/>
        <v/>
      </c>
    </row>
    <row r="125" spans="4:35" x14ac:dyDescent="0.2">
      <c r="D125" t="str">
        <f>IF(A125="","",VLOOKUP(A125,Lists!$A:$B,2,FALSE))</f>
        <v/>
      </c>
      <c r="W125" s="8" t="str">
        <f t="shared" si="23"/>
        <v/>
      </c>
      <c r="Y125" s="8" t="str">
        <f t="shared" si="24"/>
        <v/>
      </c>
      <c r="Z125" s="8" t="str">
        <f t="shared" si="25"/>
        <v/>
      </c>
      <c r="AD125" t="str">
        <f t="shared" si="26"/>
        <v/>
      </c>
      <c r="AF125" s="8" t="str">
        <f t="shared" si="27"/>
        <v/>
      </c>
      <c r="AH125" s="8" t="str">
        <f t="shared" si="28"/>
        <v/>
      </c>
      <c r="AI125" s="8" t="str">
        <f t="shared" si="29"/>
        <v/>
      </c>
    </row>
    <row r="126" spans="4:35" x14ac:dyDescent="0.2">
      <c r="D126" t="str">
        <f>IF(A126="","",VLOOKUP(A126,Lists!$A:$B,2,FALSE))</f>
        <v/>
      </c>
      <c r="W126" s="8" t="str">
        <f t="shared" si="23"/>
        <v/>
      </c>
      <c r="Y126" s="8" t="str">
        <f t="shared" si="24"/>
        <v/>
      </c>
      <c r="Z126" s="8" t="str">
        <f t="shared" si="25"/>
        <v/>
      </c>
      <c r="AD126" t="str">
        <f t="shared" si="26"/>
        <v/>
      </c>
      <c r="AF126" s="8" t="str">
        <f t="shared" si="27"/>
        <v/>
      </c>
      <c r="AH126" s="8" t="str">
        <f t="shared" si="28"/>
        <v/>
      </c>
      <c r="AI126" s="8" t="str">
        <f t="shared" si="29"/>
        <v/>
      </c>
    </row>
    <row r="127" spans="4:35" x14ac:dyDescent="0.2">
      <c r="D127" t="str">
        <f>IF(A127="","",VLOOKUP(A127,Lists!$A:$B,2,FALSE))</f>
        <v/>
      </c>
      <c r="W127" s="8" t="str">
        <f t="shared" si="23"/>
        <v/>
      </c>
      <c r="Y127" s="8" t="str">
        <f t="shared" si="24"/>
        <v/>
      </c>
      <c r="Z127" s="8" t="str">
        <f t="shared" si="25"/>
        <v/>
      </c>
      <c r="AD127" t="str">
        <f t="shared" si="26"/>
        <v/>
      </c>
      <c r="AF127" s="8" t="str">
        <f t="shared" si="27"/>
        <v/>
      </c>
      <c r="AH127" s="8" t="str">
        <f t="shared" si="28"/>
        <v/>
      </c>
      <c r="AI127" s="8" t="str">
        <f t="shared" si="29"/>
        <v/>
      </c>
    </row>
    <row r="128" spans="4:35" x14ac:dyDescent="0.2">
      <c r="D128" t="str">
        <f>IF(A128="","",VLOOKUP(A128,Lists!$A:$B,2,FALSE))</f>
        <v/>
      </c>
      <c r="W128" s="8" t="str">
        <f t="shared" si="23"/>
        <v/>
      </c>
      <c r="Y128" s="8" t="str">
        <f t="shared" si="24"/>
        <v/>
      </c>
      <c r="Z128" s="8" t="str">
        <f t="shared" si="25"/>
        <v/>
      </c>
      <c r="AD128" t="str">
        <f t="shared" si="26"/>
        <v/>
      </c>
      <c r="AF128" s="8" t="str">
        <f t="shared" si="27"/>
        <v/>
      </c>
      <c r="AH128" s="8" t="str">
        <f t="shared" si="28"/>
        <v/>
      </c>
      <c r="AI128" s="8" t="str">
        <f t="shared" si="29"/>
        <v/>
      </c>
    </row>
    <row r="129" spans="4:35" x14ac:dyDescent="0.2">
      <c r="D129" t="str">
        <f>IF(A129="","",VLOOKUP(A129,Lists!$A:$B,2,FALSE))</f>
        <v/>
      </c>
      <c r="W129" s="8" t="str">
        <f t="shared" si="23"/>
        <v/>
      </c>
      <c r="Y129" s="8" t="str">
        <f t="shared" si="24"/>
        <v/>
      </c>
      <c r="Z129" s="8" t="str">
        <f t="shared" si="25"/>
        <v/>
      </c>
      <c r="AD129" t="str">
        <f t="shared" si="26"/>
        <v/>
      </c>
      <c r="AF129" s="8" t="str">
        <f t="shared" si="27"/>
        <v/>
      </c>
      <c r="AH129" s="8" t="str">
        <f t="shared" si="28"/>
        <v/>
      </c>
      <c r="AI129" s="8" t="str">
        <f t="shared" si="29"/>
        <v/>
      </c>
    </row>
    <row r="130" spans="4:35" x14ac:dyDescent="0.2">
      <c r="D130" t="str">
        <f>IF(A130="","",VLOOKUP(A130,Lists!$A:$B,2,FALSE))</f>
        <v/>
      </c>
      <c r="W130" s="8" t="str">
        <f t="shared" ref="W130:W161" si="30">IF(AND(U130&lt;&gt;"",V130&lt;&gt;""),U130*V130,"")</f>
        <v/>
      </c>
      <c r="Y130" s="8" t="str">
        <f t="shared" ref="Y130:Y161" si="31">IF(AND(W130&lt;&gt;"",X130&lt;&gt;""),W130*X130,"")</f>
        <v/>
      </c>
      <c r="Z130" s="8" t="str">
        <f t="shared" ref="Z130:Z161" si="32">IF(AND(W130&lt;&gt;"",Y130&lt;&gt;""),W130+Y130,"")</f>
        <v/>
      </c>
      <c r="AD130" t="str">
        <f t="shared" ref="AD130:AD161" si="33">IF($B130="GWE_Item",IF($AA130="Elektra",SUMIFS($O:$O,$A:$A,$A130,$B:$B,"GWE")-SUMIFS($N:$N,$A:$A,$A130,$B:$B,"GWE"),IF($AA130="Gas",SUMIFS($Q:$Q,$A:$A,$A130,$B:$B,"GWE")-SUMIFS($P:$P,$A:$A,$A130,$B:$B,"GWE"),IF($AA130="Water",SUMIFS($S:$S,$A:$A,$A130,$B:$B,"GWE")-SUMIFS($R:$R,$A:$A,$A130,$B:$B,"GWE"),""))),"")</f>
        <v/>
      </c>
      <c r="AF130" s="8" t="str">
        <f t="shared" ref="AF130:AF161" si="34">IF(AND(AD130&lt;&gt;"",AE130&lt;&gt;""),AD130*AE130,"")</f>
        <v/>
      </c>
      <c r="AH130" s="8" t="str">
        <f t="shared" ref="AH130:AH161" si="35">IF(AND(AF130&lt;&gt;"",AG130&lt;&gt;""),AF130*AG130,"")</f>
        <v/>
      </c>
      <c r="AI130" s="8" t="str">
        <f t="shared" ref="AI130:AI161" si="36">IF(AND(AF130&lt;&gt;"",AH130&lt;&gt;""),AF130+AH130,"")</f>
        <v/>
      </c>
    </row>
    <row r="131" spans="4:35" x14ac:dyDescent="0.2">
      <c r="D131" t="str">
        <f>IF(A131="","",VLOOKUP(A131,Lists!$A:$B,2,FALSE))</f>
        <v/>
      </c>
      <c r="W131" s="8" t="str">
        <f t="shared" si="30"/>
        <v/>
      </c>
      <c r="Y131" s="8" t="str">
        <f t="shared" si="31"/>
        <v/>
      </c>
      <c r="Z131" s="8" t="str">
        <f t="shared" si="32"/>
        <v/>
      </c>
      <c r="AD131" t="str">
        <f t="shared" si="33"/>
        <v/>
      </c>
      <c r="AF131" s="8" t="str">
        <f t="shared" si="34"/>
        <v/>
      </c>
      <c r="AH131" s="8" t="str">
        <f t="shared" si="35"/>
        <v/>
      </c>
      <c r="AI131" s="8" t="str">
        <f t="shared" si="36"/>
        <v/>
      </c>
    </row>
    <row r="132" spans="4:35" x14ac:dyDescent="0.2">
      <c r="D132" t="str">
        <f>IF(A132="","",VLOOKUP(A132,Lists!$A:$B,2,FALSE))</f>
        <v/>
      </c>
      <c r="W132" s="8" t="str">
        <f t="shared" si="30"/>
        <v/>
      </c>
      <c r="Y132" s="8" t="str">
        <f t="shared" si="31"/>
        <v/>
      </c>
      <c r="Z132" s="8" t="str">
        <f t="shared" si="32"/>
        <v/>
      </c>
      <c r="AD132" t="str">
        <f t="shared" si="33"/>
        <v/>
      </c>
      <c r="AF132" s="8" t="str">
        <f t="shared" si="34"/>
        <v/>
      </c>
      <c r="AH132" s="8" t="str">
        <f t="shared" si="35"/>
        <v/>
      </c>
      <c r="AI132" s="8" t="str">
        <f t="shared" si="36"/>
        <v/>
      </c>
    </row>
    <row r="133" spans="4:35" x14ac:dyDescent="0.2">
      <c r="D133" t="str">
        <f>IF(A133="","",VLOOKUP(A133,Lists!$A:$B,2,FALSE))</f>
        <v/>
      </c>
      <c r="W133" s="8" t="str">
        <f t="shared" si="30"/>
        <v/>
      </c>
      <c r="Y133" s="8" t="str">
        <f t="shared" si="31"/>
        <v/>
      </c>
      <c r="Z133" s="8" t="str">
        <f t="shared" si="32"/>
        <v/>
      </c>
      <c r="AD133" t="str">
        <f t="shared" si="33"/>
        <v/>
      </c>
      <c r="AF133" s="8" t="str">
        <f t="shared" si="34"/>
        <v/>
      </c>
      <c r="AH133" s="8" t="str">
        <f t="shared" si="35"/>
        <v/>
      </c>
      <c r="AI133" s="8" t="str">
        <f t="shared" si="36"/>
        <v/>
      </c>
    </row>
    <row r="134" spans="4:35" x14ac:dyDescent="0.2">
      <c r="D134" t="str">
        <f>IF(A134="","",VLOOKUP(A134,Lists!$A:$B,2,FALSE))</f>
        <v/>
      </c>
      <c r="W134" s="8" t="str">
        <f t="shared" si="30"/>
        <v/>
      </c>
      <c r="Y134" s="8" t="str">
        <f t="shared" si="31"/>
        <v/>
      </c>
      <c r="Z134" s="8" t="str">
        <f t="shared" si="32"/>
        <v/>
      </c>
      <c r="AD134" t="str">
        <f t="shared" si="33"/>
        <v/>
      </c>
      <c r="AF134" s="8" t="str">
        <f t="shared" si="34"/>
        <v/>
      </c>
      <c r="AH134" s="8" t="str">
        <f t="shared" si="35"/>
        <v/>
      </c>
      <c r="AI134" s="8" t="str">
        <f t="shared" si="36"/>
        <v/>
      </c>
    </row>
    <row r="135" spans="4:35" x14ac:dyDescent="0.2">
      <c r="D135" t="str">
        <f>IF(A135="","",VLOOKUP(A135,Lists!$A:$B,2,FALSE))</f>
        <v/>
      </c>
      <c r="W135" s="8" t="str">
        <f t="shared" si="30"/>
        <v/>
      </c>
      <c r="Y135" s="8" t="str">
        <f t="shared" si="31"/>
        <v/>
      </c>
      <c r="Z135" s="8" t="str">
        <f t="shared" si="32"/>
        <v/>
      </c>
      <c r="AD135" t="str">
        <f t="shared" si="33"/>
        <v/>
      </c>
      <c r="AF135" s="8" t="str">
        <f t="shared" si="34"/>
        <v/>
      </c>
      <c r="AH135" s="8" t="str">
        <f t="shared" si="35"/>
        <v/>
      </c>
      <c r="AI135" s="8" t="str">
        <f t="shared" si="36"/>
        <v/>
      </c>
    </row>
    <row r="136" spans="4:35" x14ac:dyDescent="0.2">
      <c r="D136" t="str">
        <f>IF(A136="","",VLOOKUP(A136,Lists!$A:$B,2,FALSE))</f>
        <v/>
      </c>
      <c r="W136" s="8" t="str">
        <f t="shared" si="30"/>
        <v/>
      </c>
      <c r="Y136" s="8" t="str">
        <f t="shared" si="31"/>
        <v/>
      </c>
      <c r="Z136" s="8" t="str">
        <f t="shared" si="32"/>
        <v/>
      </c>
      <c r="AD136" t="str">
        <f t="shared" si="33"/>
        <v/>
      </c>
      <c r="AF136" s="8" t="str">
        <f t="shared" si="34"/>
        <v/>
      </c>
      <c r="AH136" s="8" t="str">
        <f t="shared" si="35"/>
        <v/>
      </c>
      <c r="AI136" s="8" t="str">
        <f t="shared" si="36"/>
        <v/>
      </c>
    </row>
    <row r="137" spans="4:35" x14ac:dyDescent="0.2">
      <c r="D137" t="str">
        <f>IF(A137="","",VLOOKUP(A137,Lists!$A:$B,2,FALSE))</f>
        <v/>
      </c>
      <c r="W137" s="8" t="str">
        <f t="shared" si="30"/>
        <v/>
      </c>
      <c r="Y137" s="8" t="str">
        <f t="shared" si="31"/>
        <v/>
      </c>
      <c r="Z137" s="8" t="str">
        <f t="shared" si="32"/>
        <v/>
      </c>
      <c r="AD137" t="str">
        <f t="shared" si="33"/>
        <v/>
      </c>
      <c r="AF137" s="8" t="str">
        <f t="shared" si="34"/>
        <v/>
      </c>
      <c r="AH137" s="8" t="str">
        <f t="shared" si="35"/>
        <v/>
      </c>
      <c r="AI137" s="8" t="str">
        <f t="shared" si="36"/>
        <v/>
      </c>
    </row>
    <row r="138" spans="4:35" x14ac:dyDescent="0.2">
      <c r="D138" t="str">
        <f>IF(A138="","",VLOOKUP(A138,Lists!$A:$B,2,FALSE))</f>
        <v/>
      </c>
      <c r="W138" s="8" t="str">
        <f t="shared" si="30"/>
        <v/>
      </c>
      <c r="Y138" s="8" t="str">
        <f t="shared" si="31"/>
        <v/>
      </c>
      <c r="Z138" s="8" t="str">
        <f t="shared" si="32"/>
        <v/>
      </c>
      <c r="AD138" t="str">
        <f t="shared" si="33"/>
        <v/>
      </c>
      <c r="AF138" s="8" t="str">
        <f t="shared" si="34"/>
        <v/>
      </c>
      <c r="AH138" s="8" t="str">
        <f t="shared" si="35"/>
        <v/>
      </c>
      <c r="AI138" s="8" t="str">
        <f t="shared" si="36"/>
        <v/>
      </c>
    </row>
    <row r="139" spans="4:35" x14ac:dyDescent="0.2">
      <c r="D139" t="str">
        <f>IF(A139="","",VLOOKUP(A139,Lists!$A:$B,2,FALSE))</f>
        <v/>
      </c>
      <c r="W139" s="8" t="str">
        <f t="shared" si="30"/>
        <v/>
      </c>
      <c r="Y139" s="8" t="str">
        <f t="shared" si="31"/>
        <v/>
      </c>
      <c r="Z139" s="8" t="str">
        <f t="shared" si="32"/>
        <v/>
      </c>
      <c r="AD139" t="str">
        <f t="shared" si="33"/>
        <v/>
      </c>
      <c r="AF139" s="8" t="str">
        <f t="shared" si="34"/>
        <v/>
      </c>
      <c r="AH139" s="8" t="str">
        <f t="shared" si="35"/>
        <v/>
      </c>
      <c r="AI139" s="8" t="str">
        <f t="shared" si="36"/>
        <v/>
      </c>
    </row>
    <row r="140" spans="4:35" x14ac:dyDescent="0.2">
      <c r="D140" t="str">
        <f>IF(A140="","",VLOOKUP(A140,Lists!$A:$B,2,FALSE))</f>
        <v/>
      </c>
      <c r="W140" s="8" t="str">
        <f t="shared" si="30"/>
        <v/>
      </c>
      <c r="Y140" s="8" t="str">
        <f t="shared" si="31"/>
        <v/>
      </c>
      <c r="Z140" s="8" t="str">
        <f t="shared" si="32"/>
        <v/>
      </c>
      <c r="AD140" t="str">
        <f t="shared" si="33"/>
        <v/>
      </c>
      <c r="AF140" s="8" t="str">
        <f t="shared" si="34"/>
        <v/>
      </c>
      <c r="AH140" s="8" t="str">
        <f t="shared" si="35"/>
        <v/>
      </c>
      <c r="AI140" s="8" t="str">
        <f t="shared" si="36"/>
        <v/>
      </c>
    </row>
    <row r="141" spans="4:35" x14ac:dyDescent="0.2">
      <c r="D141" t="str">
        <f>IF(A141="","",VLOOKUP(A141,Lists!$A:$B,2,FALSE))</f>
        <v/>
      </c>
      <c r="W141" s="8" t="str">
        <f t="shared" si="30"/>
        <v/>
      </c>
      <c r="Y141" s="8" t="str">
        <f t="shared" si="31"/>
        <v/>
      </c>
      <c r="Z141" s="8" t="str">
        <f t="shared" si="32"/>
        <v/>
      </c>
      <c r="AD141" t="str">
        <f t="shared" si="33"/>
        <v/>
      </c>
      <c r="AF141" s="8" t="str">
        <f t="shared" si="34"/>
        <v/>
      </c>
      <c r="AH141" s="8" t="str">
        <f t="shared" si="35"/>
        <v/>
      </c>
      <c r="AI141" s="8" t="str">
        <f t="shared" si="36"/>
        <v/>
      </c>
    </row>
    <row r="142" spans="4:35" x14ac:dyDescent="0.2">
      <c r="D142" t="str">
        <f>IF(A142="","",VLOOKUP(A142,Lists!$A:$B,2,FALSE))</f>
        <v/>
      </c>
      <c r="W142" s="8" t="str">
        <f t="shared" si="30"/>
        <v/>
      </c>
      <c r="Y142" s="8" t="str">
        <f t="shared" si="31"/>
        <v/>
      </c>
      <c r="Z142" s="8" t="str">
        <f t="shared" si="32"/>
        <v/>
      </c>
      <c r="AD142" t="str">
        <f t="shared" si="33"/>
        <v/>
      </c>
      <c r="AF142" s="8" t="str">
        <f t="shared" si="34"/>
        <v/>
      </c>
      <c r="AH142" s="8" t="str">
        <f t="shared" si="35"/>
        <v/>
      </c>
      <c r="AI142" s="8" t="str">
        <f t="shared" si="36"/>
        <v/>
      </c>
    </row>
    <row r="143" spans="4:35" x14ac:dyDescent="0.2">
      <c r="D143" t="str">
        <f>IF(A143="","",VLOOKUP(A143,Lists!$A:$B,2,FALSE))</f>
        <v/>
      </c>
      <c r="W143" s="8" t="str">
        <f t="shared" si="30"/>
        <v/>
      </c>
      <c r="Y143" s="8" t="str">
        <f t="shared" si="31"/>
        <v/>
      </c>
      <c r="Z143" s="8" t="str">
        <f t="shared" si="32"/>
        <v/>
      </c>
      <c r="AD143" t="str">
        <f t="shared" si="33"/>
        <v/>
      </c>
      <c r="AF143" s="8" t="str">
        <f t="shared" si="34"/>
        <v/>
      </c>
      <c r="AH143" s="8" t="str">
        <f t="shared" si="35"/>
        <v/>
      </c>
      <c r="AI143" s="8" t="str">
        <f t="shared" si="36"/>
        <v/>
      </c>
    </row>
    <row r="144" spans="4:35" x14ac:dyDescent="0.2">
      <c r="D144" t="str">
        <f>IF(A144="","",VLOOKUP(A144,Lists!$A:$B,2,FALSE))</f>
        <v/>
      </c>
      <c r="W144" s="8" t="str">
        <f t="shared" si="30"/>
        <v/>
      </c>
      <c r="Y144" s="8" t="str">
        <f t="shared" si="31"/>
        <v/>
      </c>
      <c r="Z144" s="8" t="str">
        <f t="shared" si="32"/>
        <v/>
      </c>
      <c r="AD144" t="str">
        <f t="shared" si="33"/>
        <v/>
      </c>
      <c r="AF144" s="8" t="str">
        <f t="shared" si="34"/>
        <v/>
      </c>
      <c r="AH144" s="8" t="str">
        <f t="shared" si="35"/>
        <v/>
      </c>
      <c r="AI144" s="8" t="str">
        <f t="shared" si="36"/>
        <v/>
      </c>
    </row>
    <row r="145" spans="4:35" x14ac:dyDescent="0.2">
      <c r="D145" t="str">
        <f>IF(A145="","",VLOOKUP(A145,Lists!$A:$B,2,FALSE))</f>
        <v/>
      </c>
      <c r="W145" s="8" t="str">
        <f t="shared" si="30"/>
        <v/>
      </c>
      <c r="Y145" s="8" t="str">
        <f t="shared" si="31"/>
        <v/>
      </c>
      <c r="Z145" s="8" t="str">
        <f t="shared" si="32"/>
        <v/>
      </c>
      <c r="AD145" t="str">
        <f t="shared" si="33"/>
        <v/>
      </c>
      <c r="AF145" s="8" t="str">
        <f t="shared" si="34"/>
        <v/>
      </c>
      <c r="AH145" s="8" t="str">
        <f t="shared" si="35"/>
        <v/>
      </c>
      <c r="AI145" s="8" t="str">
        <f t="shared" si="36"/>
        <v/>
      </c>
    </row>
    <row r="146" spans="4:35" x14ac:dyDescent="0.2">
      <c r="D146" t="str">
        <f>IF(A146="","",VLOOKUP(A146,Lists!$A:$B,2,FALSE))</f>
        <v/>
      </c>
      <c r="W146" s="8" t="str">
        <f t="shared" si="30"/>
        <v/>
      </c>
      <c r="Y146" s="8" t="str">
        <f t="shared" si="31"/>
        <v/>
      </c>
      <c r="Z146" s="8" t="str">
        <f t="shared" si="32"/>
        <v/>
      </c>
      <c r="AD146" t="str">
        <f t="shared" si="33"/>
        <v/>
      </c>
      <c r="AF146" s="8" t="str">
        <f t="shared" si="34"/>
        <v/>
      </c>
      <c r="AH146" s="8" t="str">
        <f t="shared" si="35"/>
        <v/>
      </c>
      <c r="AI146" s="8" t="str">
        <f t="shared" si="36"/>
        <v/>
      </c>
    </row>
    <row r="147" spans="4:35" x14ac:dyDescent="0.2">
      <c r="D147" t="str">
        <f>IF(A147="","",VLOOKUP(A147,Lists!$A:$B,2,FALSE))</f>
        <v/>
      </c>
      <c r="W147" s="8" t="str">
        <f t="shared" si="30"/>
        <v/>
      </c>
      <c r="Y147" s="8" t="str">
        <f t="shared" si="31"/>
        <v/>
      </c>
      <c r="Z147" s="8" t="str">
        <f t="shared" si="32"/>
        <v/>
      </c>
      <c r="AD147" t="str">
        <f t="shared" si="33"/>
        <v/>
      </c>
      <c r="AF147" s="8" t="str">
        <f t="shared" si="34"/>
        <v/>
      </c>
      <c r="AH147" s="8" t="str">
        <f t="shared" si="35"/>
        <v/>
      </c>
      <c r="AI147" s="8" t="str">
        <f t="shared" si="36"/>
        <v/>
      </c>
    </row>
    <row r="148" spans="4:35" x14ac:dyDescent="0.2">
      <c r="D148" t="str">
        <f>IF(A148="","",VLOOKUP(A148,Lists!$A:$B,2,FALSE))</f>
        <v/>
      </c>
      <c r="W148" s="8" t="str">
        <f t="shared" si="30"/>
        <v/>
      </c>
      <c r="Y148" s="8" t="str">
        <f t="shared" si="31"/>
        <v/>
      </c>
      <c r="Z148" s="8" t="str">
        <f t="shared" si="32"/>
        <v/>
      </c>
      <c r="AD148" t="str">
        <f t="shared" si="33"/>
        <v/>
      </c>
      <c r="AF148" s="8" t="str">
        <f t="shared" si="34"/>
        <v/>
      </c>
      <c r="AH148" s="8" t="str">
        <f t="shared" si="35"/>
        <v/>
      </c>
      <c r="AI148" s="8" t="str">
        <f t="shared" si="36"/>
        <v/>
      </c>
    </row>
    <row r="149" spans="4:35" x14ac:dyDescent="0.2">
      <c r="D149" t="str">
        <f>IF(A149="","",VLOOKUP(A149,Lists!$A:$B,2,FALSE))</f>
        <v/>
      </c>
      <c r="W149" s="8" t="str">
        <f t="shared" si="30"/>
        <v/>
      </c>
      <c r="Y149" s="8" t="str">
        <f t="shared" si="31"/>
        <v/>
      </c>
      <c r="Z149" s="8" t="str">
        <f t="shared" si="32"/>
        <v/>
      </c>
      <c r="AD149" t="str">
        <f t="shared" si="33"/>
        <v/>
      </c>
      <c r="AF149" s="8" t="str">
        <f t="shared" si="34"/>
        <v/>
      </c>
      <c r="AH149" s="8" t="str">
        <f t="shared" si="35"/>
        <v/>
      </c>
      <c r="AI149" s="8" t="str">
        <f t="shared" si="36"/>
        <v/>
      </c>
    </row>
    <row r="150" spans="4:35" x14ac:dyDescent="0.2">
      <c r="D150" t="str">
        <f>IF(A150="","",VLOOKUP(A150,Lists!$A:$B,2,FALSE))</f>
        <v/>
      </c>
      <c r="W150" s="8" t="str">
        <f t="shared" si="30"/>
        <v/>
      </c>
      <c r="Y150" s="8" t="str">
        <f t="shared" si="31"/>
        <v/>
      </c>
      <c r="Z150" s="8" t="str">
        <f t="shared" si="32"/>
        <v/>
      </c>
      <c r="AD150" t="str">
        <f t="shared" si="33"/>
        <v/>
      </c>
      <c r="AF150" s="8" t="str">
        <f t="shared" si="34"/>
        <v/>
      </c>
      <c r="AH150" s="8" t="str">
        <f t="shared" si="35"/>
        <v/>
      </c>
      <c r="AI150" s="8" t="str">
        <f t="shared" si="36"/>
        <v/>
      </c>
    </row>
    <row r="151" spans="4:35" x14ac:dyDescent="0.2">
      <c r="D151" t="str">
        <f>IF(A151="","",VLOOKUP(A151,Lists!$A:$B,2,FALSE))</f>
        <v/>
      </c>
      <c r="W151" s="8" t="str">
        <f t="shared" si="30"/>
        <v/>
      </c>
      <c r="Y151" s="8" t="str">
        <f t="shared" si="31"/>
        <v/>
      </c>
      <c r="Z151" s="8" t="str">
        <f t="shared" si="32"/>
        <v/>
      </c>
      <c r="AD151" t="str">
        <f t="shared" si="33"/>
        <v/>
      </c>
      <c r="AF151" s="8" t="str">
        <f t="shared" si="34"/>
        <v/>
      </c>
      <c r="AH151" s="8" t="str">
        <f t="shared" si="35"/>
        <v/>
      </c>
      <c r="AI151" s="8" t="str">
        <f t="shared" si="36"/>
        <v/>
      </c>
    </row>
    <row r="152" spans="4:35" x14ac:dyDescent="0.2">
      <c r="D152" t="str">
        <f>IF(A152="","",VLOOKUP(A152,Lists!$A:$B,2,FALSE))</f>
        <v/>
      </c>
      <c r="W152" s="8" t="str">
        <f t="shared" si="30"/>
        <v/>
      </c>
      <c r="Y152" s="8" t="str">
        <f t="shared" si="31"/>
        <v/>
      </c>
      <c r="Z152" s="8" t="str">
        <f t="shared" si="32"/>
        <v/>
      </c>
      <c r="AD152" t="str">
        <f t="shared" si="33"/>
        <v/>
      </c>
      <c r="AF152" s="8" t="str">
        <f t="shared" si="34"/>
        <v/>
      </c>
      <c r="AH152" s="8" t="str">
        <f t="shared" si="35"/>
        <v/>
      </c>
      <c r="AI152" s="8" t="str">
        <f t="shared" si="36"/>
        <v/>
      </c>
    </row>
    <row r="153" spans="4:35" x14ac:dyDescent="0.2">
      <c r="D153" t="str">
        <f>IF(A153="","",VLOOKUP(A153,Lists!$A:$B,2,FALSE))</f>
        <v/>
      </c>
      <c r="W153" s="8" t="str">
        <f t="shared" si="30"/>
        <v/>
      </c>
      <c r="Y153" s="8" t="str">
        <f t="shared" si="31"/>
        <v/>
      </c>
      <c r="Z153" s="8" t="str">
        <f t="shared" si="32"/>
        <v/>
      </c>
      <c r="AD153" t="str">
        <f t="shared" si="33"/>
        <v/>
      </c>
      <c r="AF153" s="8" t="str">
        <f t="shared" si="34"/>
        <v/>
      </c>
      <c r="AH153" s="8" t="str">
        <f t="shared" si="35"/>
        <v/>
      </c>
      <c r="AI153" s="8" t="str">
        <f t="shared" si="36"/>
        <v/>
      </c>
    </row>
    <row r="154" spans="4:35" x14ac:dyDescent="0.2">
      <c r="D154" t="str">
        <f>IF(A154="","",VLOOKUP(A154,Lists!$A:$B,2,FALSE))</f>
        <v/>
      </c>
      <c r="W154" s="8" t="str">
        <f t="shared" si="30"/>
        <v/>
      </c>
      <c r="Y154" s="8" t="str">
        <f t="shared" si="31"/>
        <v/>
      </c>
      <c r="Z154" s="8" t="str">
        <f t="shared" si="32"/>
        <v/>
      </c>
      <c r="AD154" t="str">
        <f t="shared" si="33"/>
        <v/>
      </c>
      <c r="AF154" s="8" t="str">
        <f t="shared" si="34"/>
        <v/>
      </c>
      <c r="AH154" s="8" t="str">
        <f t="shared" si="35"/>
        <v/>
      </c>
      <c r="AI154" s="8" t="str">
        <f t="shared" si="36"/>
        <v/>
      </c>
    </row>
    <row r="155" spans="4:35" x14ac:dyDescent="0.2">
      <c r="D155" t="str">
        <f>IF(A155="","",VLOOKUP(A155,Lists!$A:$B,2,FALSE))</f>
        <v/>
      </c>
      <c r="W155" s="8" t="str">
        <f t="shared" si="30"/>
        <v/>
      </c>
      <c r="Y155" s="8" t="str">
        <f t="shared" si="31"/>
        <v/>
      </c>
      <c r="Z155" s="8" t="str">
        <f t="shared" si="32"/>
        <v/>
      </c>
      <c r="AD155" t="str">
        <f t="shared" si="33"/>
        <v/>
      </c>
      <c r="AF155" s="8" t="str">
        <f t="shared" si="34"/>
        <v/>
      </c>
      <c r="AH155" s="8" t="str">
        <f t="shared" si="35"/>
        <v/>
      </c>
      <c r="AI155" s="8" t="str">
        <f t="shared" si="36"/>
        <v/>
      </c>
    </row>
    <row r="156" spans="4:35" x14ac:dyDescent="0.2">
      <c r="D156" t="str">
        <f>IF(A156="","",VLOOKUP(A156,Lists!$A:$B,2,FALSE))</f>
        <v/>
      </c>
      <c r="W156" s="8" t="str">
        <f t="shared" si="30"/>
        <v/>
      </c>
      <c r="Y156" s="8" t="str">
        <f t="shared" si="31"/>
        <v/>
      </c>
      <c r="Z156" s="8" t="str">
        <f t="shared" si="32"/>
        <v/>
      </c>
      <c r="AD156" t="str">
        <f t="shared" si="33"/>
        <v/>
      </c>
      <c r="AF156" s="8" t="str">
        <f t="shared" si="34"/>
        <v/>
      </c>
      <c r="AH156" s="8" t="str">
        <f t="shared" si="35"/>
        <v/>
      </c>
      <c r="AI156" s="8" t="str">
        <f t="shared" si="36"/>
        <v/>
      </c>
    </row>
    <row r="157" spans="4:35" x14ac:dyDescent="0.2">
      <c r="D157" t="str">
        <f>IF(A157="","",VLOOKUP(A157,Lists!$A:$B,2,FALSE))</f>
        <v/>
      </c>
      <c r="W157" s="8" t="str">
        <f t="shared" si="30"/>
        <v/>
      </c>
      <c r="Y157" s="8" t="str">
        <f t="shared" si="31"/>
        <v/>
      </c>
      <c r="Z157" s="8" t="str">
        <f t="shared" si="32"/>
        <v/>
      </c>
      <c r="AD157" t="str">
        <f t="shared" si="33"/>
        <v/>
      </c>
      <c r="AF157" s="8" t="str">
        <f t="shared" si="34"/>
        <v/>
      </c>
      <c r="AH157" s="8" t="str">
        <f t="shared" si="35"/>
        <v/>
      </c>
      <c r="AI157" s="8" t="str">
        <f t="shared" si="36"/>
        <v/>
      </c>
    </row>
    <row r="158" spans="4:35" x14ac:dyDescent="0.2">
      <c r="D158" t="str">
        <f>IF(A158="","",VLOOKUP(A158,Lists!$A:$B,2,FALSE))</f>
        <v/>
      </c>
      <c r="W158" s="8" t="str">
        <f t="shared" si="30"/>
        <v/>
      </c>
      <c r="Y158" s="8" t="str">
        <f t="shared" si="31"/>
        <v/>
      </c>
      <c r="Z158" s="8" t="str">
        <f t="shared" si="32"/>
        <v/>
      </c>
      <c r="AD158" t="str">
        <f t="shared" si="33"/>
        <v/>
      </c>
      <c r="AF158" s="8" t="str">
        <f t="shared" si="34"/>
        <v/>
      </c>
      <c r="AH158" s="8" t="str">
        <f t="shared" si="35"/>
        <v/>
      </c>
      <c r="AI158" s="8" t="str">
        <f t="shared" si="36"/>
        <v/>
      </c>
    </row>
    <row r="159" spans="4:35" x14ac:dyDescent="0.2">
      <c r="D159" t="str">
        <f>IF(A159="","",VLOOKUP(A159,Lists!$A:$B,2,FALSE))</f>
        <v/>
      </c>
      <c r="W159" s="8" t="str">
        <f t="shared" si="30"/>
        <v/>
      </c>
      <c r="Y159" s="8" t="str">
        <f t="shared" si="31"/>
        <v/>
      </c>
      <c r="Z159" s="8" t="str">
        <f t="shared" si="32"/>
        <v/>
      </c>
      <c r="AD159" t="str">
        <f t="shared" si="33"/>
        <v/>
      </c>
      <c r="AF159" s="8" t="str">
        <f t="shared" si="34"/>
        <v/>
      </c>
      <c r="AH159" s="8" t="str">
        <f t="shared" si="35"/>
        <v/>
      </c>
      <c r="AI159" s="8" t="str">
        <f t="shared" si="36"/>
        <v/>
      </c>
    </row>
    <row r="160" spans="4:35" x14ac:dyDescent="0.2">
      <c r="D160" t="str">
        <f>IF(A160="","",VLOOKUP(A160,Lists!$A:$B,2,FALSE))</f>
        <v/>
      </c>
      <c r="W160" s="8" t="str">
        <f t="shared" si="30"/>
        <v/>
      </c>
      <c r="Y160" s="8" t="str">
        <f t="shared" si="31"/>
        <v/>
      </c>
      <c r="Z160" s="8" t="str">
        <f t="shared" si="32"/>
        <v/>
      </c>
      <c r="AD160" t="str">
        <f t="shared" si="33"/>
        <v/>
      </c>
      <c r="AF160" s="8" t="str">
        <f t="shared" si="34"/>
        <v/>
      </c>
      <c r="AH160" s="8" t="str">
        <f t="shared" si="35"/>
        <v/>
      </c>
      <c r="AI160" s="8" t="str">
        <f t="shared" si="36"/>
        <v/>
      </c>
    </row>
    <row r="161" spans="4:35" x14ac:dyDescent="0.2">
      <c r="D161" t="str">
        <f>IF(A161="","",VLOOKUP(A161,Lists!$A:$B,2,FALSE))</f>
        <v/>
      </c>
      <c r="W161" s="8" t="str">
        <f t="shared" si="30"/>
        <v/>
      </c>
      <c r="Y161" s="8" t="str">
        <f t="shared" si="31"/>
        <v/>
      </c>
      <c r="Z161" s="8" t="str">
        <f t="shared" si="32"/>
        <v/>
      </c>
      <c r="AD161" t="str">
        <f t="shared" si="33"/>
        <v/>
      </c>
      <c r="AF161" s="8" t="str">
        <f t="shared" si="34"/>
        <v/>
      </c>
      <c r="AH161" s="8" t="str">
        <f t="shared" si="35"/>
        <v/>
      </c>
      <c r="AI161" s="8" t="str">
        <f t="shared" si="36"/>
        <v/>
      </c>
    </row>
    <row r="162" spans="4:35" x14ac:dyDescent="0.2">
      <c r="D162" t="str">
        <f>IF(A162="","",VLOOKUP(A162,Lists!$A:$B,2,FALSE))</f>
        <v/>
      </c>
      <c r="W162" s="8" t="str">
        <f t="shared" ref="W162:W193" si="37">IF(AND(U162&lt;&gt;"",V162&lt;&gt;""),U162*V162,"")</f>
        <v/>
      </c>
      <c r="Y162" s="8" t="str">
        <f t="shared" ref="Y162:Y193" si="38">IF(AND(W162&lt;&gt;"",X162&lt;&gt;""),W162*X162,"")</f>
        <v/>
      </c>
      <c r="Z162" s="8" t="str">
        <f t="shared" ref="Z162:Z193" si="39">IF(AND(W162&lt;&gt;"",Y162&lt;&gt;""),W162+Y162,"")</f>
        <v/>
      </c>
      <c r="AD162" t="str">
        <f t="shared" ref="AD162:AD193" si="40">IF($B162="GWE_Item",IF($AA162="Elektra",SUMIFS($O:$O,$A:$A,$A162,$B:$B,"GWE")-SUMIFS($N:$N,$A:$A,$A162,$B:$B,"GWE"),IF($AA162="Gas",SUMIFS($Q:$Q,$A:$A,$A162,$B:$B,"GWE")-SUMIFS($P:$P,$A:$A,$A162,$B:$B,"GWE"),IF($AA162="Water",SUMIFS($S:$S,$A:$A,$A162,$B:$B,"GWE")-SUMIFS($R:$R,$A:$A,$A162,$B:$B,"GWE"),""))),"")</f>
        <v/>
      </c>
      <c r="AF162" s="8" t="str">
        <f t="shared" ref="AF162:AF193" si="41">IF(AND(AD162&lt;&gt;"",AE162&lt;&gt;""),AD162*AE162,"")</f>
        <v/>
      </c>
      <c r="AH162" s="8" t="str">
        <f t="shared" ref="AH162:AH193" si="42">IF(AND(AF162&lt;&gt;"",AG162&lt;&gt;""),AF162*AG162,"")</f>
        <v/>
      </c>
      <c r="AI162" s="8" t="str">
        <f t="shared" ref="AI162:AI193" si="43">IF(AND(AF162&lt;&gt;"",AH162&lt;&gt;""),AF162+AH162,"")</f>
        <v/>
      </c>
    </row>
    <row r="163" spans="4:35" x14ac:dyDescent="0.2">
      <c r="D163" t="str">
        <f>IF(A163="","",VLOOKUP(A163,Lists!$A:$B,2,FALSE))</f>
        <v/>
      </c>
      <c r="W163" s="8" t="str">
        <f t="shared" si="37"/>
        <v/>
      </c>
      <c r="Y163" s="8" t="str">
        <f t="shared" si="38"/>
        <v/>
      </c>
      <c r="Z163" s="8" t="str">
        <f t="shared" si="39"/>
        <v/>
      </c>
      <c r="AD163" t="str">
        <f t="shared" si="40"/>
        <v/>
      </c>
      <c r="AF163" s="8" t="str">
        <f t="shared" si="41"/>
        <v/>
      </c>
      <c r="AH163" s="8" t="str">
        <f t="shared" si="42"/>
        <v/>
      </c>
      <c r="AI163" s="8" t="str">
        <f t="shared" si="43"/>
        <v/>
      </c>
    </row>
    <row r="164" spans="4:35" x14ac:dyDescent="0.2">
      <c r="D164" t="str">
        <f>IF(A164="","",VLOOKUP(A164,Lists!$A:$B,2,FALSE))</f>
        <v/>
      </c>
      <c r="W164" s="8" t="str">
        <f t="shared" si="37"/>
        <v/>
      </c>
      <c r="Y164" s="8" t="str">
        <f t="shared" si="38"/>
        <v/>
      </c>
      <c r="Z164" s="8" t="str">
        <f t="shared" si="39"/>
        <v/>
      </c>
      <c r="AD164" t="str">
        <f t="shared" si="40"/>
        <v/>
      </c>
      <c r="AF164" s="8" t="str">
        <f t="shared" si="41"/>
        <v/>
      </c>
      <c r="AH164" s="8" t="str">
        <f t="shared" si="42"/>
        <v/>
      </c>
      <c r="AI164" s="8" t="str">
        <f t="shared" si="43"/>
        <v/>
      </c>
    </row>
    <row r="165" spans="4:35" x14ac:dyDescent="0.2">
      <c r="D165" t="str">
        <f>IF(A165="","",VLOOKUP(A165,Lists!$A:$B,2,FALSE))</f>
        <v/>
      </c>
      <c r="W165" s="8" t="str">
        <f t="shared" si="37"/>
        <v/>
      </c>
      <c r="Y165" s="8" t="str">
        <f t="shared" si="38"/>
        <v/>
      </c>
      <c r="Z165" s="8" t="str">
        <f t="shared" si="39"/>
        <v/>
      </c>
      <c r="AD165" t="str">
        <f t="shared" si="40"/>
        <v/>
      </c>
      <c r="AF165" s="8" t="str">
        <f t="shared" si="41"/>
        <v/>
      </c>
      <c r="AH165" s="8" t="str">
        <f t="shared" si="42"/>
        <v/>
      </c>
      <c r="AI165" s="8" t="str">
        <f t="shared" si="43"/>
        <v/>
      </c>
    </row>
    <row r="166" spans="4:35" x14ac:dyDescent="0.2">
      <c r="D166" t="str">
        <f>IF(A166="","",VLOOKUP(A166,Lists!$A:$B,2,FALSE))</f>
        <v/>
      </c>
      <c r="W166" s="8" t="str">
        <f t="shared" si="37"/>
        <v/>
      </c>
      <c r="Y166" s="8" t="str">
        <f t="shared" si="38"/>
        <v/>
      </c>
      <c r="Z166" s="8" t="str">
        <f t="shared" si="39"/>
        <v/>
      </c>
      <c r="AD166" t="str">
        <f t="shared" si="40"/>
        <v/>
      </c>
      <c r="AF166" s="8" t="str">
        <f t="shared" si="41"/>
        <v/>
      </c>
      <c r="AH166" s="8" t="str">
        <f t="shared" si="42"/>
        <v/>
      </c>
      <c r="AI166" s="8" t="str">
        <f t="shared" si="43"/>
        <v/>
      </c>
    </row>
    <row r="167" spans="4:35" x14ac:dyDescent="0.2">
      <c r="D167" t="str">
        <f>IF(A167="","",VLOOKUP(A167,Lists!$A:$B,2,FALSE))</f>
        <v/>
      </c>
      <c r="W167" s="8" t="str">
        <f t="shared" si="37"/>
        <v/>
      </c>
      <c r="Y167" s="8" t="str">
        <f t="shared" si="38"/>
        <v/>
      </c>
      <c r="Z167" s="8" t="str">
        <f t="shared" si="39"/>
        <v/>
      </c>
      <c r="AD167" t="str">
        <f t="shared" si="40"/>
        <v/>
      </c>
      <c r="AF167" s="8" t="str">
        <f t="shared" si="41"/>
        <v/>
      </c>
      <c r="AH167" s="8" t="str">
        <f t="shared" si="42"/>
        <v/>
      </c>
      <c r="AI167" s="8" t="str">
        <f t="shared" si="43"/>
        <v/>
      </c>
    </row>
    <row r="168" spans="4:35" x14ac:dyDescent="0.2">
      <c r="D168" t="str">
        <f>IF(A168="","",VLOOKUP(A168,Lists!$A:$B,2,FALSE))</f>
        <v/>
      </c>
      <c r="W168" s="8" t="str">
        <f t="shared" si="37"/>
        <v/>
      </c>
      <c r="Y168" s="8" t="str">
        <f t="shared" si="38"/>
        <v/>
      </c>
      <c r="Z168" s="8" t="str">
        <f t="shared" si="39"/>
        <v/>
      </c>
      <c r="AD168" t="str">
        <f t="shared" si="40"/>
        <v/>
      </c>
      <c r="AF168" s="8" t="str">
        <f t="shared" si="41"/>
        <v/>
      </c>
      <c r="AH168" s="8" t="str">
        <f t="shared" si="42"/>
        <v/>
      </c>
      <c r="AI168" s="8" t="str">
        <f t="shared" si="43"/>
        <v/>
      </c>
    </row>
    <row r="169" spans="4:35" x14ac:dyDescent="0.2">
      <c r="D169" t="str">
        <f>IF(A169="","",VLOOKUP(A169,Lists!$A:$B,2,FALSE))</f>
        <v/>
      </c>
      <c r="W169" s="8" t="str">
        <f t="shared" si="37"/>
        <v/>
      </c>
      <c r="Y169" s="8" t="str">
        <f t="shared" si="38"/>
        <v/>
      </c>
      <c r="Z169" s="8" t="str">
        <f t="shared" si="39"/>
        <v/>
      </c>
      <c r="AD169" t="str">
        <f t="shared" si="40"/>
        <v/>
      </c>
      <c r="AF169" s="8" t="str">
        <f t="shared" si="41"/>
        <v/>
      </c>
      <c r="AH169" s="8" t="str">
        <f t="shared" si="42"/>
        <v/>
      </c>
      <c r="AI169" s="8" t="str">
        <f t="shared" si="43"/>
        <v/>
      </c>
    </row>
    <row r="170" spans="4:35" x14ac:dyDescent="0.2">
      <c r="D170" t="str">
        <f>IF(A170="","",VLOOKUP(A170,Lists!$A:$B,2,FALSE))</f>
        <v/>
      </c>
      <c r="W170" s="8" t="str">
        <f t="shared" si="37"/>
        <v/>
      </c>
      <c r="Y170" s="8" t="str">
        <f t="shared" si="38"/>
        <v/>
      </c>
      <c r="Z170" s="8" t="str">
        <f t="shared" si="39"/>
        <v/>
      </c>
      <c r="AD170" t="str">
        <f t="shared" si="40"/>
        <v/>
      </c>
      <c r="AF170" s="8" t="str">
        <f t="shared" si="41"/>
        <v/>
      </c>
      <c r="AH170" s="8" t="str">
        <f t="shared" si="42"/>
        <v/>
      </c>
      <c r="AI170" s="8" t="str">
        <f t="shared" si="43"/>
        <v/>
      </c>
    </row>
    <row r="171" spans="4:35" x14ac:dyDescent="0.2">
      <c r="D171" t="str">
        <f>IF(A171="","",VLOOKUP(A171,Lists!$A:$B,2,FALSE))</f>
        <v/>
      </c>
      <c r="W171" s="8" t="str">
        <f t="shared" si="37"/>
        <v/>
      </c>
      <c r="Y171" s="8" t="str">
        <f t="shared" si="38"/>
        <v/>
      </c>
      <c r="Z171" s="8" t="str">
        <f t="shared" si="39"/>
        <v/>
      </c>
      <c r="AD171" t="str">
        <f t="shared" si="40"/>
        <v/>
      </c>
      <c r="AF171" s="8" t="str">
        <f t="shared" si="41"/>
        <v/>
      </c>
      <c r="AH171" s="8" t="str">
        <f t="shared" si="42"/>
        <v/>
      </c>
      <c r="AI171" s="8" t="str">
        <f t="shared" si="43"/>
        <v/>
      </c>
    </row>
    <row r="172" spans="4:35" x14ac:dyDescent="0.2">
      <c r="D172" t="str">
        <f>IF(A172="","",VLOOKUP(A172,Lists!$A:$B,2,FALSE))</f>
        <v/>
      </c>
      <c r="W172" s="8" t="str">
        <f t="shared" si="37"/>
        <v/>
      </c>
      <c r="Y172" s="8" t="str">
        <f t="shared" si="38"/>
        <v/>
      </c>
      <c r="Z172" s="8" t="str">
        <f t="shared" si="39"/>
        <v/>
      </c>
      <c r="AD172" t="str">
        <f t="shared" si="40"/>
        <v/>
      </c>
      <c r="AF172" s="8" t="str">
        <f t="shared" si="41"/>
        <v/>
      </c>
      <c r="AH172" s="8" t="str">
        <f t="shared" si="42"/>
        <v/>
      </c>
      <c r="AI172" s="8" t="str">
        <f t="shared" si="43"/>
        <v/>
      </c>
    </row>
    <row r="173" spans="4:35" x14ac:dyDescent="0.2">
      <c r="D173" t="str">
        <f>IF(A173="","",VLOOKUP(A173,Lists!$A:$B,2,FALSE))</f>
        <v/>
      </c>
      <c r="W173" s="8" t="str">
        <f t="shared" si="37"/>
        <v/>
      </c>
      <c r="Y173" s="8" t="str">
        <f t="shared" si="38"/>
        <v/>
      </c>
      <c r="Z173" s="8" t="str">
        <f t="shared" si="39"/>
        <v/>
      </c>
      <c r="AD173" t="str">
        <f t="shared" si="40"/>
        <v/>
      </c>
      <c r="AF173" s="8" t="str">
        <f t="shared" si="41"/>
        <v/>
      </c>
      <c r="AH173" s="8" t="str">
        <f t="shared" si="42"/>
        <v/>
      </c>
      <c r="AI173" s="8" t="str">
        <f t="shared" si="43"/>
        <v/>
      </c>
    </row>
    <row r="174" spans="4:35" x14ac:dyDescent="0.2">
      <c r="D174" t="str">
        <f>IF(A174="","",VLOOKUP(A174,Lists!$A:$B,2,FALSE))</f>
        <v/>
      </c>
      <c r="W174" s="8" t="str">
        <f t="shared" si="37"/>
        <v/>
      </c>
      <c r="Y174" s="8" t="str">
        <f t="shared" si="38"/>
        <v/>
      </c>
      <c r="Z174" s="8" t="str">
        <f t="shared" si="39"/>
        <v/>
      </c>
      <c r="AD174" t="str">
        <f t="shared" si="40"/>
        <v/>
      </c>
      <c r="AF174" s="8" t="str">
        <f t="shared" si="41"/>
        <v/>
      </c>
      <c r="AH174" s="8" t="str">
        <f t="shared" si="42"/>
        <v/>
      </c>
      <c r="AI174" s="8" t="str">
        <f t="shared" si="43"/>
        <v/>
      </c>
    </row>
    <row r="175" spans="4:35" x14ac:dyDescent="0.2">
      <c r="D175" t="str">
        <f>IF(A175="","",VLOOKUP(A175,Lists!$A:$B,2,FALSE))</f>
        <v/>
      </c>
      <c r="W175" s="8" t="str">
        <f t="shared" si="37"/>
        <v/>
      </c>
      <c r="Y175" s="8" t="str">
        <f t="shared" si="38"/>
        <v/>
      </c>
      <c r="Z175" s="8" t="str">
        <f t="shared" si="39"/>
        <v/>
      </c>
      <c r="AD175" t="str">
        <f t="shared" si="40"/>
        <v/>
      </c>
      <c r="AF175" s="8" t="str">
        <f t="shared" si="41"/>
        <v/>
      </c>
      <c r="AH175" s="8" t="str">
        <f t="shared" si="42"/>
        <v/>
      </c>
      <c r="AI175" s="8" t="str">
        <f t="shared" si="43"/>
        <v/>
      </c>
    </row>
    <row r="176" spans="4:35" x14ac:dyDescent="0.2">
      <c r="D176" t="str">
        <f>IF(A176="","",VLOOKUP(A176,Lists!$A:$B,2,FALSE))</f>
        <v/>
      </c>
      <c r="W176" s="8" t="str">
        <f t="shared" si="37"/>
        <v/>
      </c>
      <c r="Y176" s="8" t="str">
        <f t="shared" si="38"/>
        <v/>
      </c>
      <c r="Z176" s="8" t="str">
        <f t="shared" si="39"/>
        <v/>
      </c>
      <c r="AD176" t="str">
        <f t="shared" si="40"/>
        <v/>
      </c>
      <c r="AF176" s="8" t="str">
        <f t="shared" si="41"/>
        <v/>
      </c>
      <c r="AH176" s="8" t="str">
        <f t="shared" si="42"/>
        <v/>
      </c>
      <c r="AI176" s="8" t="str">
        <f t="shared" si="43"/>
        <v/>
      </c>
    </row>
    <row r="177" spans="4:35" x14ac:dyDescent="0.2">
      <c r="D177" t="str">
        <f>IF(A177="","",VLOOKUP(A177,Lists!$A:$B,2,FALSE))</f>
        <v/>
      </c>
      <c r="W177" s="8" t="str">
        <f t="shared" si="37"/>
        <v/>
      </c>
      <c r="Y177" s="8" t="str">
        <f t="shared" si="38"/>
        <v/>
      </c>
      <c r="Z177" s="8" t="str">
        <f t="shared" si="39"/>
        <v/>
      </c>
      <c r="AD177" t="str">
        <f t="shared" si="40"/>
        <v/>
      </c>
      <c r="AF177" s="8" t="str">
        <f t="shared" si="41"/>
        <v/>
      </c>
      <c r="AH177" s="8" t="str">
        <f t="shared" si="42"/>
        <v/>
      </c>
      <c r="AI177" s="8" t="str">
        <f t="shared" si="43"/>
        <v/>
      </c>
    </row>
    <row r="178" spans="4:35" x14ac:dyDescent="0.2">
      <c r="D178" t="str">
        <f>IF(A178="","",VLOOKUP(A178,Lists!$A:$B,2,FALSE))</f>
        <v/>
      </c>
      <c r="W178" s="8" t="str">
        <f t="shared" si="37"/>
        <v/>
      </c>
      <c r="Y178" s="8" t="str">
        <f t="shared" si="38"/>
        <v/>
      </c>
      <c r="Z178" s="8" t="str">
        <f t="shared" si="39"/>
        <v/>
      </c>
      <c r="AD178" t="str">
        <f t="shared" si="40"/>
        <v/>
      </c>
      <c r="AF178" s="8" t="str">
        <f t="shared" si="41"/>
        <v/>
      </c>
      <c r="AH178" s="8" t="str">
        <f t="shared" si="42"/>
        <v/>
      </c>
      <c r="AI178" s="8" t="str">
        <f t="shared" si="43"/>
        <v/>
      </c>
    </row>
    <row r="179" spans="4:35" x14ac:dyDescent="0.2">
      <c r="D179" t="str">
        <f>IF(A179="","",VLOOKUP(A179,Lists!$A:$B,2,FALSE))</f>
        <v/>
      </c>
      <c r="W179" s="8" t="str">
        <f t="shared" si="37"/>
        <v/>
      </c>
      <c r="Y179" s="8" t="str">
        <f t="shared" si="38"/>
        <v/>
      </c>
      <c r="Z179" s="8" t="str">
        <f t="shared" si="39"/>
        <v/>
      </c>
      <c r="AD179" t="str">
        <f t="shared" si="40"/>
        <v/>
      </c>
      <c r="AF179" s="8" t="str">
        <f t="shared" si="41"/>
        <v/>
      </c>
      <c r="AH179" s="8" t="str">
        <f t="shared" si="42"/>
        <v/>
      </c>
      <c r="AI179" s="8" t="str">
        <f t="shared" si="43"/>
        <v/>
      </c>
    </row>
    <row r="180" spans="4:35" x14ac:dyDescent="0.2">
      <c r="D180" t="str">
        <f>IF(A180="","",VLOOKUP(A180,Lists!$A:$B,2,FALSE))</f>
        <v/>
      </c>
      <c r="W180" s="8" t="str">
        <f t="shared" si="37"/>
        <v/>
      </c>
      <c r="Y180" s="8" t="str">
        <f t="shared" si="38"/>
        <v/>
      </c>
      <c r="Z180" s="8" t="str">
        <f t="shared" si="39"/>
        <v/>
      </c>
      <c r="AD180" t="str">
        <f t="shared" si="40"/>
        <v/>
      </c>
      <c r="AF180" s="8" t="str">
        <f t="shared" si="41"/>
        <v/>
      </c>
      <c r="AH180" s="8" t="str">
        <f t="shared" si="42"/>
        <v/>
      </c>
      <c r="AI180" s="8" t="str">
        <f t="shared" si="43"/>
        <v/>
      </c>
    </row>
    <row r="181" spans="4:35" x14ac:dyDescent="0.2">
      <c r="D181" t="str">
        <f>IF(A181="","",VLOOKUP(A181,Lists!$A:$B,2,FALSE))</f>
        <v/>
      </c>
      <c r="W181" s="8" t="str">
        <f t="shared" si="37"/>
        <v/>
      </c>
      <c r="Y181" s="8" t="str">
        <f t="shared" si="38"/>
        <v/>
      </c>
      <c r="Z181" s="8" t="str">
        <f t="shared" si="39"/>
        <v/>
      </c>
      <c r="AD181" t="str">
        <f t="shared" si="40"/>
        <v/>
      </c>
      <c r="AF181" s="8" t="str">
        <f t="shared" si="41"/>
        <v/>
      </c>
      <c r="AH181" s="8" t="str">
        <f t="shared" si="42"/>
        <v/>
      </c>
      <c r="AI181" s="8" t="str">
        <f t="shared" si="43"/>
        <v/>
      </c>
    </row>
    <row r="182" spans="4:35" x14ac:dyDescent="0.2">
      <c r="D182" t="str">
        <f>IF(A182="","",VLOOKUP(A182,Lists!$A:$B,2,FALSE))</f>
        <v/>
      </c>
      <c r="W182" s="8" t="str">
        <f t="shared" si="37"/>
        <v/>
      </c>
      <c r="Y182" s="8" t="str">
        <f t="shared" si="38"/>
        <v/>
      </c>
      <c r="Z182" s="8" t="str">
        <f t="shared" si="39"/>
        <v/>
      </c>
      <c r="AD182" t="str">
        <f t="shared" si="40"/>
        <v/>
      </c>
      <c r="AF182" s="8" t="str">
        <f t="shared" si="41"/>
        <v/>
      </c>
      <c r="AH182" s="8" t="str">
        <f t="shared" si="42"/>
        <v/>
      </c>
      <c r="AI182" s="8" t="str">
        <f t="shared" si="43"/>
        <v/>
      </c>
    </row>
    <row r="183" spans="4:35" x14ac:dyDescent="0.2">
      <c r="D183" t="str">
        <f>IF(A183="","",VLOOKUP(A183,Lists!$A:$B,2,FALSE))</f>
        <v/>
      </c>
      <c r="W183" s="8" t="str">
        <f t="shared" si="37"/>
        <v/>
      </c>
      <c r="Y183" s="8" t="str">
        <f t="shared" si="38"/>
        <v/>
      </c>
      <c r="Z183" s="8" t="str">
        <f t="shared" si="39"/>
        <v/>
      </c>
      <c r="AD183" t="str">
        <f t="shared" si="40"/>
        <v/>
      </c>
      <c r="AF183" s="8" t="str">
        <f t="shared" si="41"/>
        <v/>
      </c>
      <c r="AH183" s="8" t="str">
        <f t="shared" si="42"/>
        <v/>
      </c>
      <c r="AI183" s="8" t="str">
        <f t="shared" si="43"/>
        <v/>
      </c>
    </row>
    <row r="184" spans="4:35" x14ac:dyDescent="0.2">
      <c r="D184" t="str">
        <f>IF(A184="","",VLOOKUP(A184,Lists!$A:$B,2,FALSE))</f>
        <v/>
      </c>
      <c r="W184" s="8" t="str">
        <f t="shared" si="37"/>
        <v/>
      </c>
      <c r="Y184" s="8" t="str">
        <f t="shared" si="38"/>
        <v/>
      </c>
      <c r="Z184" s="8" t="str">
        <f t="shared" si="39"/>
        <v/>
      </c>
      <c r="AD184" t="str">
        <f t="shared" si="40"/>
        <v/>
      </c>
      <c r="AF184" s="8" t="str">
        <f t="shared" si="41"/>
        <v/>
      </c>
      <c r="AH184" s="8" t="str">
        <f t="shared" si="42"/>
        <v/>
      </c>
      <c r="AI184" s="8" t="str">
        <f t="shared" si="43"/>
        <v/>
      </c>
    </row>
    <row r="185" spans="4:35" x14ac:dyDescent="0.2">
      <c r="D185" t="str">
        <f>IF(A185="","",VLOOKUP(A185,Lists!$A:$B,2,FALSE))</f>
        <v/>
      </c>
      <c r="W185" s="8" t="str">
        <f t="shared" si="37"/>
        <v/>
      </c>
      <c r="Y185" s="8" t="str">
        <f t="shared" si="38"/>
        <v/>
      </c>
      <c r="Z185" s="8" t="str">
        <f t="shared" si="39"/>
        <v/>
      </c>
      <c r="AD185" t="str">
        <f t="shared" si="40"/>
        <v/>
      </c>
      <c r="AF185" s="8" t="str">
        <f t="shared" si="41"/>
        <v/>
      </c>
      <c r="AH185" s="8" t="str">
        <f t="shared" si="42"/>
        <v/>
      </c>
      <c r="AI185" s="8" t="str">
        <f t="shared" si="43"/>
        <v/>
      </c>
    </row>
    <row r="186" spans="4:35" x14ac:dyDescent="0.2">
      <c r="D186" t="str">
        <f>IF(A186="","",VLOOKUP(A186,Lists!$A:$B,2,FALSE))</f>
        <v/>
      </c>
      <c r="W186" s="8" t="str">
        <f t="shared" si="37"/>
        <v/>
      </c>
      <c r="Y186" s="8" t="str">
        <f t="shared" si="38"/>
        <v/>
      </c>
      <c r="Z186" s="8" t="str">
        <f t="shared" si="39"/>
        <v/>
      </c>
      <c r="AD186" t="str">
        <f t="shared" si="40"/>
        <v/>
      </c>
      <c r="AF186" s="8" t="str">
        <f t="shared" si="41"/>
        <v/>
      </c>
      <c r="AH186" s="8" t="str">
        <f t="shared" si="42"/>
        <v/>
      </c>
      <c r="AI186" s="8" t="str">
        <f t="shared" si="43"/>
        <v/>
      </c>
    </row>
    <row r="187" spans="4:35" x14ac:dyDescent="0.2">
      <c r="D187" t="str">
        <f>IF(A187="","",VLOOKUP(A187,Lists!$A:$B,2,FALSE))</f>
        <v/>
      </c>
      <c r="W187" s="8" t="str">
        <f t="shared" si="37"/>
        <v/>
      </c>
      <c r="Y187" s="8" t="str">
        <f t="shared" si="38"/>
        <v/>
      </c>
      <c r="Z187" s="8" t="str">
        <f t="shared" si="39"/>
        <v/>
      </c>
      <c r="AD187" t="str">
        <f t="shared" si="40"/>
        <v/>
      </c>
      <c r="AF187" s="8" t="str">
        <f t="shared" si="41"/>
        <v/>
      </c>
      <c r="AH187" s="8" t="str">
        <f t="shared" si="42"/>
        <v/>
      </c>
      <c r="AI187" s="8" t="str">
        <f t="shared" si="43"/>
        <v/>
      </c>
    </row>
    <row r="188" spans="4:35" x14ac:dyDescent="0.2">
      <c r="D188" t="str">
        <f>IF(A188="","",VLOOKUP(A188,Lists!$A:$B,2,FALSE))</f>
        <v/>
      </c>
      <c r="W188" s="8" t="str">
        <f t="shared" si="37"/>
        <v/>
      </c>
      <c r="Y188" s="8" t="str">
        <f t="shared" si="38"/>
        <v/>
      </c>
      <c r="Z188" s="8" t="str">
        <f t="shared" si="39"/>
        <v/>
      </c>
      <c r="AD188" t="str">
        <f t="shared" si="40"/>
        <v/>
      </c>
      <c r="AF188" s="8" t="str">
        <f t="shared" si="41"/>
        <v/>
      </c>
      <c r="AH188" s="8" t="str">
        <f t="shared" si="42"/>
        <v/>
      </c>
      <c r="AI188" s="8" t="str">
        <f t="shared" si="43"/>
        <v/>
      </c>
    </row>
    <row r="189" spans="4:35" x14ac:dyDescent="0.2">
      <c r="D189" t="str">
        <f>IF(A189="","",VLOOKUP(A189,Lists!$A:$B,2,FALSE))</f>
        <v/>
      </c>
      <c r="W189" s="8" t="str">
        <f t="shared" si="37"/>
        <v/>
      </c>
      <c r="Y189" s="8" t="str">
        <f t="shared" si="38"/>
        <v/>
      </c>
      <c r="Z189" s="8" t="str">
        <f t="shared" si="39"/>
        <v/>
      </c>
      <c r="AD189" t="str">
        <f t="shared" si="40"/>
        <v/>
      </c>
      <c r="AF189" s="8" t="str">
        <f t="shared" si="41"/>
        <v/>
      </c>
      <c r="AH189" s="8" t="str">
        <f t="shared" si="42"/>
        <v/>
      </c>
      <c r="AI189" s="8" t="str">
        <f t="shared" si="43"/>
        <v/>
      </c>
    </row>
    <row r="190" spans="4:35" x14ac:dyDescent="0.2">
      <c r="D190" t="str">
        <f>IF(A190="","",VLOOKUP(A190,Lists!$A:$B,2,FALSE))</f>
        <v/>
      </c>
      <c r="W190" s="8" t="str">
        <f t="shared" si="37"/>
        <v/>
      </c>
      <c r="Y190" s="8" t="str">
        <f t="shared" si="38"/>
        <v/>
      </c>
      <c r="Z190" s="8" t="str">
        <f t="shared" si="39"/>
        <v/>
      </c>
      <c r="AD190" t="str">
        <f t="shared" si="40"/>
        <v/>
      </c>
      <c r="AF190" s="8" t="str">
        <f t="shared" si="41"/>
        <v/>
      </c>
      <c r="AH190" s="8" t="str">
        <f t="shared" si="42"/>
        <v/>
      </c>
      <c r="AI190" s="8" t="str">
        <f t="shared" si="43"/>
        <v/>
      </c>
    </row>
    <row r="191" spans="4:35" x14ac:dyDescent="0.2">
      <c r="D191" t="str">
        <f>IF(A191="","",VLOOKUP(A191,Lists!$A:$B,2,FALSE))</f>
        <v/>
      </c>
      <c r="W191" s="8" t="str">
        <f t="shared" si="37"/>
        <v/>
      </c>
      <c r="Y191" s="8" t="str">
        <f t="shared" si="38"/>
        <v/>
      </c>
      <c r="Z191" s="8" t="str">
        <f t="shared" si="39"/>
        <v/>
      </c>
      <c r="AD191" t="str">
        <f t="shared" si="40"/>
        <v/>
      </c>
      <c r="AF191" s="8" t="str">
        <f t="shared" si="41"/>
        <v/>
      </c>
      <c r="AH191" s="8" t="str">
        <f t="shared" si="42"/>
        <v/>
      </c>
      <c r="AI191" s="8" t="str">
        <f t="shared" si="43"/>
        <v/>
      </c>
    </row>
    <row r="192" spans="4:35" x14ac:dyDescent="0.2">
      <c r="D192" t="str">
        <f>IF(A192="","",VLOOKUP(A192,Lists!$A:$B,2,FALSE))</f>
        <v/>
      </c>
      <c r="W192" s="8" t="str">
        <f t="shared" si="37"/>
        <v/>
      </c>
      <c r="Y192" s="8" t="str">
        <f t="shared" si="38"/>
        <v/>
      </c>
      <c r="Z192" s="8" t="str">
        <f t="shared" si="39"/>
        <v/>
      </c>
      <c r="AD192" t="str">
        <f t="shared" si="40"/>
        <v/>
      </c>
      <c r="AF192" s="8" t="str">
        <f t="shared" si="41"/>
        <v/>
      </c>
      <c r="AH192" s="8" t="str">
        <f t="shared" si="42"/>
        <v/>
      </c>
      <c r="AI192" s="8" t="str">
        <f t="shared" si="43"/>
        <v/>
      </c>
    </row>
    <row r="193" spans="4:35" x14ac:dyDescent="0.2">
      <c r="D193" t="str">
        <f>IF(A193="","",VLOOKUP(A193,Lists!$A:$B,2,FALSE))</f>
        <v/>
      </c>
      <c r="W193" s="8" t="str">
        <f t="shared" si="37"/>
        <v/>
      </c>
      <c r="Y193" s="8" t="str">
        <f t="shared" si="38"/>
        <v/>
      </c>
      <c r="Z193" s="8" t="str">
        <f t="shared" si="39"/>
        <v/>
      </c>
      <c r="AD193" t="str">
        <f t="shared" si="40"/>
        <v/>
      </c>
      <c r="AF193" s="8" t="str">
        <f t="shared" si="41"/>
        <v/>
      </c>
      <c r="AH193" s="8" t="str">
        <f t="shared" si="42"/>
        <v/>
      </c>
      <c r="AI193" s="8" t="str">
        <f t="shared" si="43"/>
        <v/>
      </c>
    </row>
    <row r="194" spans="4:35" x14ac:dyDescent="0.2">
      <c r="D194" t="str">
        <f>IF(A194="","",VLOOKUP(A194,Lists!$A:$B,2,FALSE))</f>
        <v/>
      </c>
      <c r="W194" s="8" t="str">
        <f t="shared" ref="W194:W225" si="44">IF(AND(U194&lt;&gt;"",V194&lt;&gt;""),U194*V194,"")</f>
        <v/>
      </c>
      <c r="Y194" s="8" t="str">
        <f t="shared" ref="Y194:Y225" si="45">IF(AND(W194&lt;&gt;"",X194&lt;&gt;""),W194*X194,"")</f>
        <v/>
      </c>
      <c r="Z194" s="8" t="str">
        <f t="shared" ref="Z194:Z225" si="46">IF(AND(W194&lt;&gt;"",Y194&lt;&gt;""),W194+Y194,"")</f>
        <v/>
      </c>
      <c r="AD194" t="str">
        <f t="shared" ref="AD194:AD201" si="47">IF($B194="GWE_Item",IF($AA194="Elektra",SUMIFS($O:$O,$A:$A,$A194,$B:$B,"GWE")-SUMIFS($N:$N,$A:$A,$A194,$B:$B,"GWE"),IF($AA194="Gas",SUMIFS($Q:$Q,$A:$A,$A194,$B:$B,"GWE")-SUMIFS($P:$P,$A:$A,$A194,$B:$B,"GWE"),IF($AA194="Water",SUMIFS($S:$S,$A:$A,$A194,$B:$B,"GWE")-SUMIFS($R:$R,$A:$A,$A194,$B:$B,"GWE"),""))),"")</f>
        <v/>
      </c>
      <c r="AF194" s="8" t="str">
        <f t="shared" ref="AF194:AF225" si="48">IF(AND(AD194&lt;&gt;"",AE194&lt;&gt;""),AD194*AE194,"")</f>
        <v/>
      </c>
      <c r="AH194" s="8" t="str">
        <f t="shared" ref="AH194:AH225" si="49">IF(AND(AF194&lt;&gt;"",AG194&lt;&gt;""),AF194*AG194,"")</f>
        <v/>
      </c>
      <c r="AI194" s="8" t="str">
        <f t="shared" ref="AI194:AI225" si="50">IF(AND(AF194&lt;&gt;"",AH194&lt;&gt;""),AF194+AH194,"")</f>
        <v/>
      </c>
    </row>
    <row r="195" spans="4:35" x14ac:dyDescent="0.2">
      <c r="D195" t="str">
        <f>IF(A195="","",VLOOKUP(A195,Lists!$A:$B,2,FALSE))</f>
        <v/>
      </c>
      <c r="W195" s="8" t="str">
        <f t="shared" si="44"/>
        <v/>
      </c>
      <c r="Y195" s="8" t="str">
        <f t="shared" si="45"/>
        <v/>
      </c>
      <c r="Z195" s="8" t="str">
        <f t="shared" si="46"/>
        <v/>
      </c>
      <c r="AD195" t="str">
        <f t="shared" si="47"/>
        <v/>
      </c>
      <c r="AF195" s="8" t="str">
        <f t="shared" si="48"/>
        <v/>
      </c>
      <c r="AH195" s="8" t="str">
        <f t="shared" si="49"/>
        <v/>
      </c>
      <c r="AI195" s="8" t="str">
        <f t="shared" si="50"/>
        <v/>
      </c>
    </row>
    <row r="196" spans="4:35" x14ac:dyDescent="0.2">
      <c r="D196" t="str">
        <f>IF(A196="","",VLOOKUP(A196,Lists!$A:$B,2,FALSE))</f>
        <v/>
      </c>
      <c r="W196" s="8" t="str">
        <f t="shared" si="44"/>
        <v/>
      </c>
      <c r="Y196" s="8" t="str">
        <f t="shared" si="45"/>
        <v/>
      </c>
      <c r="Z196" s="8" t="str">
        <f t="shared" si="46"/>
        <v/>
      </c>
      <c r="AD196" t="str">
        <f t="shared" si="47"/>
        <v/>
      </c>
      <c r="AF196" s="8" t="str">
        <f t="shared" si="48"/>
        <v/>
      </c>
      <c r="AH196" s="8" t="str">
        <f t="shared" si="49"/>
        <v/>
      </c>
      <c r="AI196" s="8" t="str">
        <f t="shared" si="50"/>
        <v/>
      </c>
    </row>
    <row r="197" spans="4:35" x14ac:dyDescent="0.2">
      <c r="D197" t="str">
        <f>IF(A197="","",VLOOKUP(A197,Lists!$A:$B,2,FALSE))</f>
        <v/>
      </c>
      <c r="W197" s="8" t="str">
        <f t="shared" si="44"/>
        <v/>
      </c>
      <c r="Y197" s="8" t="str">
        <f t="shared" si="45"/>
        <v/>
      </c>
      <c r="Z197" s="8" t="str">
        <f t="shared" si="46"/>
        <v/>
      </c>
      <c r="AD197" t="str">
        <f t="shared" si="47"/>
        <v/>
      </c>
      <c r="AF197" s="8" t="str">
        <f t="shared" si="48"/>
        <v/>
      </c>
      <c r="AH197" s="8" t="str">
        <f t="shared" si="49"/>
        <v/>
      </c>
      <c r="AI197" s="8" t="str">
        <f t="shared" si="50"/>
        <v/>
      </c>
    </row>
    <row r="198" spans="4:35" x14ac:dyDescent="0.2">
      <c r="D198" t="str">
        <f>IF(A198="","",VLOOKUP(A198,Lists!$A:$B,2,FALSE))</f>
        <v/>
      </c>
      <c r="W198" s="8" t="str">
        <f t="shared" si="44"/>
        <v/>
      </c>
      <c r="Y198" s="8" t="str">
        <f t="shared" si="45"/>
        <v/>
      </c>
      <c r="Z198" s="8" t="str">
        <f t="shared" si="46"/>
        <v/>
      </c>
      <c r="AD198" t="str">
        <f t="shared" si="47"/>
        <v/>
      </c>
      <c r="AF198" s="8" t="str">
        <f t="shared" si="48"/>
        <v/>
      </c>
      <c r="AH198" s="8" t="str">
        <f t="shared" si="49"/>
        <v/>
      </c>
      <c r="AI198" s="8" t="str">
        <f t="shared" si="50"/>
        <v/>
      </c>
    </row>
    <row r="199" spans="4:35" x14ac:dyDescent="0.2">
      <c r="D199" t="str">
        <f>IF(A199="","",VLOOKUP(A199,Lists!$A:$B,2,FALSE))</f>
        <v/>
      </c>
      <c r="W199" s="8" t="str">
        <f t="shared" si="44"/>
        <v/>
      </c>
      <c r="Y199" s="8" t="str">
        <f t="shared" si="45"/>
        <v/>
      </c>
      <c r="Z199" s="8" t="str">
        <f t="shared" si="46"/>
        <v/>
      </c>
      <c r="AD199" t="str">
        <f t="shared" si="47"/>
        <v/>
      </c>
      <c r="AF199" s="8" t="str">
        <f t="shared" si="48"/>
        <v/>
      </c>
      <c r="AH199" s="8" t="str">
        <f t="shared" si="49"/>
        <v/>
      </c>
      <c r="AI199" s="8" t="str">
        <f t="shared" si="50"/>
        <v/>
      </c>
    </row>
    <row r="200" spans="4:35" x14ac:dyDescent="0.2">
      <c r="D200" t="str">
        <f>IF(A200="","",VLOOKUP(A200,Lists!$A:$B,2,FALSE))</f>
        <v/>
      </c>
      <c r="W200" s="8" t="str">
        <f t="shared" si="44"/>
        <v/>
      </c>
      <c r="Y200" s="8" t="str">
        <f t="shared" si="45"/>
        <v/>
      </c>
      <c r="Z200" s="8" t="str">
        <f t="shared" si="46"/>
        <v/>
      </c>
      <c r="AD200" t="str">
        <f t="shared" si="47"/>
        <v/>
      </c>
      <c r="AF200" s="8" t="str">
        <f t="shared" si="48"/>
        <v/>
      </c>
      <c r="AH200" s="8" t="str">
        <f t="shared" si="49"/>
        <v/>
      </c>
      <c r="AI200" s="8" t="str">
        <f t="shared" si="50"/>
        <v/>
      </c>
    </row>
    <row r="201" spans="4:35" x14ac:dyDescent="0.2">
      <c r="D201" t="str">
        <f>IF(A201="","",VLOOKUP(A201,Lists!$A:$B,2,FALSE))</f>
        <v/>
      </c>
      <c r="W201" s="8" t="str">
        <f t="shared" si="44"/>
        <v/>
      </c>
      <c r="Y201" s="8" t="str">
        <f t="shared" si="45"/>
        <v/>
      </c>
      <c r="Z201" s="8" t="str">
        <f t="shared" si="46"/>
        <v/>
      </c>
      <c r="AD201" t="str">
        <f t="shared" si="47"/>
        <v/>
      </c>
      <c r="AF201" s="8" t="str">
        <f t="shared" si="48"/>
        <v/>
      </c>
      <c r="AH201" s="8" t="str">
        <f t="shared" si="49"/>
        <v/>
      </c>
      <c r="AI201" s="8" t="str">
        <f t="shared" si="50"/>
        <v/>
      </c>
    </row>
  </sheetData>
  <phoneticPr fontId="4" type="noConversion"/>
  <conditionalFormatting sqref="D2:M5000">
    <cfRule type="expression" dxfId="3" priority="1" stopIfTrue="1">
      <formula>$B2&lt;&gt;"Basis"</formula>
    </cfRule>
  </conditionalFormatting>
  <conditionalFormatting sqref="N2:S5000">
    <cfRule type="expression" dxfId="2" priority="2" stopIfTrue="1">
      <formula>$B2&lt;&gt;"GWE"</formula>
    </cfRule>
  </conditionalFormatting>
  <conditionalFormatting sqref="T2:Z5000">
    <cfRule type="expression" dxfId="1" priority="3" stopIfTrue="1">
      <formula>$B2&lt;&gt;"Schoonmaak"</formula>
    </cfRule>
  </conditionalFormatting>
  <conditionalFormatting sqref="AA2:AI5000">
    <cfRule type="expression" dxfId="0" priority="4" stopIfTrue="1">
      <formula>AND($B2&lt;&gt;"Schade",$B2&lt;&gt;"Extra",$B2&lt;&gt;"GWE_Item")</formula>
    </cfRule>
  </conditionalFormatting>
  <dataValidations count="4">
    <dataValidation type="list" sqref="B2:B5000" xr:uid="{00000000-0002-0000-0100-000000000000}">
      <formula1>"Basis,GWE,GWE_Item,Schoonmaak,Schade,Extra"</formula1>
    </dataValidation>
    <dataValidation type="list" allowBlank="1" sqref="H2:H5000" xr:uid="{00000000-0002-0000-0100-000003000000}">
      <formula1>"Via RyanRent,Eigen Beheer"</formula1>
    </dataValidation>
    <dataValidation type="list" allowBlank="1" sqref="T2:T5000" xr:uid="{00000000-0002-0000-0100-000004000000}">
      <formula1>"Basis Schoonmaak,Intensief Schoonmaak,Geen Schoonmaak,Achteraf Betaald"</formula1>
    </dataValidation>
    <dataValidation type="list" allowBlank="1" sqref="AA2:AA5000" xr:uid="{00000000-0002-0000-0100-000005000000}">
      <formula1>"Elektra,Gas,Water,Overig"</formula1>
    </dataValidation>
  </dataValidations>
  <pageMargins left="0.75" right="0.75" top="1" bottom="1" header="0.5" footer="0.5"/>
  <pageSetup paperSize="9" orientation="portrait" horizontalDpi="0" verticalDpi="0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xr:uid="{00000000-0002-0000-0100-000001000000}">
          <x14:formula1>
            <xm:f>Lists!$A$2:$A$5000</xm:f>
          </x14:formula1>
          <xm:sqref>A2:A5000</xm:sqref>
        </x14:dataValidation>
        <x14:dataValidation type="list" allowBlank="1" xr:uid="{00000000-0002-0000-0100-000002000000}">
          <x14:formula1>
            <xm:f>Lists!$C$2:$C$5000</xm:f>
          </x14:formula1>
          <xm:sqref>C2:C5000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92"/>
  <sheetViews>
    <sheetView workbookViewId="0"/>
  </sheetViews>
  <sheetFormatPr baseColWidth="10" defaultColWidth="8.83203125" defaultRowHeight="15" x14ac:dyDescent="0.2"/>
  <sheetData>
    <row r="1" spans="1:3" x14ac:dyDescent="0.2">
      <c r="A1" t="s">
        <v>36</v>
      </c>
      <c r="B1" t="s">
        <v>8</v>
      </c>
      <c r="C1" t="s">
        <v>37</v>
      </c>
    </row>
    <row r="2" spans="1:3" x14ac:dyDescent="0.2">
      <c r="A2" t="s">
        <v>38</v>
      </c>
      <c r="B2" t="s">
        <v>39</v>
      </c>
      <c r="C2" t="s">
        <v>40</v>
      </c>
    </row>
    <row r="3" spans="1:3" x14ac:dyDescent="0.2">
      <c r="A3" t="s">
        <v>41</v>
      </c>
      <c r="B3" t="s">
        <v>42</v>
      </c>
      <c r="C3" t="s">
        <v>43</v>
      </c>
    </row>
    <row r="4" spans="1:3" x14ac:dyDescent="0.2">
      <c r="A4" t="s">
        <v>44</v>
      </c>
      <c r="B4" t="s">
        <v>45</v>
      </c>
      <c r="C4" t="s">
        <v>46</v>
      </c>
    </row>
    <row r="5" spans="1:3" x14ac:dyDescent="0.2">
      <c r="A5" t="s">
        <v>47</v>
      </c>
      <c r="B5" t="s">
        <v>48</v>
      </c>
      <c r="C5" t="s">
        <v>46</v>
      </c>
    </row>
    <row r="6" spans="1:3" x14ac:dyDescent="0.2">
      <c r="A6" t="s">
        <v>49</v>
      </c>
      <c r="B6" t="s">
        <v>50</v>
      </c>
      <c r="C6" t="s">
        <v>51</v>
      </c>
    </row>
    <row r="7" spans="1:3" x14ac:dyDescent="0.2">
      <c r="A7" t="s">
        <v>52</v>
      </c>
      <c r="B7" t="s">
        <v>53</v>
      </c>
      <c r="C7" t="s">
        <v>54</v>
      </c>
    </row>
    <row r="8" spans="1:3" x14ac:dyDescent="0.2">
      <c r="A8" t="s">
        <v>55</v>
      </c>
      <c r="B8" t="s">
        <v>56</v>
      </c>
      <c r="C8" t="s">
        <v>57</v>
      </c>
    </row>
    <row r="9" spans="1:3" x14ac:dyDescent="0.2">
      <c r="A9" t="s">
        <v>58</v>
      </c>
      <c r="B9" t="s">
        <v>59</v>
      </c>
      <c r="C9" t="s">
        <v>60</v>
      </c>
    </row>
    <row r="10" spans="1:3" x14ac:dyDescent="0.2">
      <c r="A10" t="s">
        <v>61</v>
      </c>
      <c r="B10" t="s">
        <v>62</v>
      </c>
      <c r="C10" t="s">
        <v>63</v>
      </c>
    </row>
    <row r="11" spans="1:3" x14ac:dyDescent="0.2">
      <c r="A11" t="s">
        <v>64</v>
      </c>
      <c r="B11" t="s">
        <v>65</v>
      </c>
      <c r="C11" t="s">
        <v>66</v>
      </c>
    </row>
    <row r="12" spans="1:3" x14ac:dyDescent="0.2">
      <c r="A12" t="s">
        <v>67</v>
      </c>
      <c r="B12" t="s">
        <v>68</v>
      </c>
      <c r="C12" t="s">
        <v>69</v>
      </c>
    </row>
    <row r="13" spans="1:3" x14ac:dyDescent="0.2">
      <c r="A13" t="s">
        <v>70</v>
      </c>
      <c r="B13" t="s">
        <v>71</v>
      </c>
      <c r="C13" t="s">
        <v>72</v>
      </c>
    </row>
    <row r="14" spans="1:3" x14ac:dyDescent="0.2">
      <c r="A14" t="s">
        <v>73</v>
      </c>
      <c r="B14" t="s">
        <v>74</v>
      </c>
      <c r="C14" t="s">
        <v>75</v>
      </c>
    </row>
    <row r="15" spans="1:3" x14ac:dyDescent="0.2">
      <c r="A15" t="s">
        <v>76</v>
      </c>
      <c r="B15" t="s">
        <v>77</v>
      </c>
      <c r="C15" t="s">
        <v>78</v>
      </c>
    </row>
    <row r="16" spans="1:3" x14ac:dyDescent="0.2">
      <c r="A16" t="s">
        <v>79</v>
      </c>
      <c r="B16" t="s">
        <v>80</v>
      </c>
      <c r="C16" t="s">
        <v>81</v>
      </c>
    </row>
    <row r="17" spans="1:3" x14ac:dyDescent="0.2">
      <c r="A17" t="s">
        <v>82</v>
      </c>
      <c r="B17" t="s">
        <v>83</v>
      </c>
      <c r="C17" t="s">
        <v>84</v>
      </c>
    </row>
    <row r="18" spans="1:3" x14ac:dyDescent="0.2">
      <c r="A18" t="s">
        <v>85</v>
      </c>
      <c r="B18" t="s">
        <v>86</v>
      </c>
      <c r="C18" t="s">
        <v>87</v>
      </c>
    </row>
    <row r="19" spans="1:3" x14ac:dyDescent="0.2">
      <c r="A19" t="s">
        <v>88</v>
      </c>
      <c r="B19" t="s">
        <v>89</v>
      </c>
      <c r="C19" t="s">
        <v>90</v>
      </c>
    </row>
    <row r="20" spans="1:3" x14ac:dyDescent="0.2">
      <c r="A20" t="s">
        <v>91</v>
      </c>
      <c r="B20" t="s">
        <v>92</v>
      </c>
      <c r="C20" t="s">
        <v>93</v>
      </c>
    </row>
    <row r="21" spans="1:3" x14ac:dyDescent="0.2">
      <c r="A21" t="s">
        <v>94</v>
      </c>
      <c r="B21" t="s">
        <v>95</v>
      </c>
      <c r="C21" t="s">
        <v>96</v>
      </c>
    </row>
    <row r="22" spans="1:3" x14ac:dyDescent="0.2">
      <c r="A22" t="s">
        <v>97</v>
      </c>
      <c r="B22" t="s">
        <v>98</v>
      </c>
      <c r="C22" t="s">
        <v>99</v>
      </c>
    </row>
    <row r="23" spans="1:3" x14ac:dyDescent="0.2">
      <c r="A23" t="s">
        <v>100</v>
      </c>
      <c r="B23" t="s">
        <v>101</v>
      </c>
      <c r="C23" t="s">
        <v>102</v>
      </c>
    </row>
    <row r="24" spans="1:3" x14ac:dyDescent="0.2">
      <c r="A24" t="s">
        <v>103</v>
      </c>
      <c r="B24" t="s">
        <v>104</v>
      </c>
      <c r="C24" t="s">
        <v>105</v>
      </c>
    </row>
    <row r="25" spans="1:3" x14ac:dyDescent="0.2">
      <c r="A25" t="s">
        <v>106</v>
      </c>
      <c r="B25" t="s">
        <v>107</v>
      </c>
      <c r="C25" t="s">
        <v>108</v>
      </c>
    </row>
    <row r="26" spans="1:3" x14ac:dyDescent="0.2">
      <c r="A26" t="s">
        <v>109</v>
      </c>
      <c r="B26" t="s">
        <v>110</v>
      </c>
      <c r="C26" t="s">
        <v>111</v>
      </c>
    </row>
    <row r="27" spans="1:3" x14ac:dyDescent="0.2">
      <c r="A27" t="s">
        <v>112</v>
      </c>
      <c r="B27" t="s">
        <v>113</v>
      </c>
      <c r="C27" t="s">
        <v>114</v>
      </c>
    </row>
    <row r="28" spans="1:3" x14ac:dyDescent="0.2">
      <c r="A28" t="s">
        <v>115</v>
      </c>
      <c r="B28" t="s">
        <v>116</v>
      </c>
      <c r="C28" t="s">
        <v>117</v>
      </c>
    </row>
    <row r="29" spans="1:3" x14ac:dyDescent="0.2">
      <c r="A29" t="s">
        <v>118</v>
      </c>
      <c r="B29" t="s">
        <v>119</v>
      </c>
      <c r="C29" t="s">
        <v>120</v>
      </c>
    </row>
    <row r="30" spans="1:3" x14ac:dyDescent="0.2">
      <c r="A30" t="s">
        <v>121</v>
      </c>
      <c r="B30" t="s">
        <v>122</v>
      </c>
      <c r="C30" t="s">
        <v>123</v>
      </c>
    </row>
    <row r="31" spans="1:3" x14ac:dyDescent="0.2">
      <c r="A31" t="s">
        <v>124</v>
      </c>
      <c r="B31" t="s">
        <v>125</v>
      </c>
      <c r="C31" t="s">
        <v>126</v>
      </c>
    </row>
    <row r="32" spans="1:3" x14ac:dyDescent="0.2">
      <c r="A32" t="s">
        <v>127</v>
      </c>
      <c r="B32" t="s">
        <v>128</v>
      </c>
      <c r="C32" t="s">
        <v>129</v>
      </c>
    </row>
    <row r="33" spans="1:3" x14ac:dyDescent="0.2">
      <c r="A33" t="s">
        <v>130</v>
      </c>
      <c r="B33" t="s">
        <v>131</v>
      </c>
      <c r="C33" t="s">
        <v>132</v>
      </c>
    </row>
    <row r="34" spans="1:3" x14ac:dyDescent="0.2">
      <c r="A34" t="s">
        <v>133</v>
      </c>
      <c r="B34" t="s">
        <v>134</v>
      </c>
      <c r="C34" t="s">
        <v>135</v>
      </c>
    </row>
    <row r="35" spans="1:3" x14ac:dyDescent="0.2">
      <c r="A35" t="s">
        <v>136</v>
      </c>
      <c r="B35" t="s">
        <v>137</v>
      </c>
      <c r="C35" t="s">
        <v>138</v>
      </c>
    </row>
    <row r="36" spans="1:3" x14ac:dyDescent="0.2">
      <c r="A36" t="s">
        <v>139</v>
      </c>
      <c r="B36" t="s">
        <v>140</v>
      </c>
      <c r="C36" t="s">
        <v>141</v>
      </c>
    </row>
    <row r="37" spans="1:3" x14ac:dyDescent="0.2">
      <c r="A37" t="s">
        <v>142</v>
      </c>
      <c r="B37" t="s">
        <v>143</v>
      </c>
      <c r="C37" t="s">
        <v>144</v>
      </c>
    </row>
    <row r="38" spans="1:3" x14ac:dyDescent="0.2">
      <c r="A38" t="s">
        <v>145</v>
      </c>
      <c r="B38" t="s">
        <v>146</v>
      </c>
      <c r="C38" t="s">
        <v>147</v>
      </c>
    </row>
    <row r="39" spans="1:3" x14ac:dyDescent="0.2">
      <c r="A39" t="s">
        <v>148</v>
      </c>
      <c r="B39" t="s">
        <v>149</v>
      </c>
      <c r="C39" t="s">
        <v>150</v>
      </c>
    </row>
    <row r="40" spans="1:3" x14ac:dyDescent="0.2">
      <c r="A40" t="s">
        <v>151</v>
      </c>
      <c r="B40" t="s">
        <v>152</v>
      </c>
      <c r="C40" t="s">
        <v>153</v>
      </c>
    </row>
    <row r="41" spans="1:3" x14ac:dyDescent="0.2">
      <c r="A41" t="s">
        <v>154</v>
      </c>
      <c r="B41" t="s">
        <v>155</v>
      </c>
      <c r="C41" t="s">
        <v>156</v>
      </c>
    </row>
    <row r="42" spans="1:3" x14ac:dyDescent="0.2">
      <c r="A42" t="s">
        <v>157</v>
      </c>
      <c r="B42" t="s">
        <v>158</v>
      </c>
      <c r="C42" t="s">
        <v>159</v>
      </c>
    </row>
    <row r="43" spans="1:3" x14ac:dyDescent="0.2">
      <c r="A43" t="s">
        <v>160</v>
      </c>
      <c r="B43" t="s">
        <v>161</v>
      </c>
      <c r="C43" t="s">
        <v>162</v>
      </c>
    </row>
    <row r="44" spans="1:3" x14ac:dyDescent="0.2">
      <c r="A44" t="s">
        <v>163</v>
      </c>
      <c r="B44" t="s">
        <v>164</v>
      </c>
      <c r="C44" t="s">
        <v>165</v>
      </c>
    </row>
    <row r="45" spans="1:3" x14ac:dyDescent="0.2">
      <c r="A45" t="s">
        <v>166</v>
      </c>
      <c r="B45" t="s">
        <v>167</v>
      </c>
      <c r="C45" t="s">
        <v>168</v>
      </c>
    </row>
    <row r="46" spans="1:3" x14ac:dyDescent="0.2">
      <c r="A46" t="s">
        <v>169</v>
      </c>
      <c r="B46" t="s">
        <v>170</v>
      </c>
      <c r="C46" t="s">
        <v>171</v>
      </c>
    </row>
    <row r="47" spans="1:3" x14ac:dyDescent="0.2">
      <c r="A47" t="s">
        <v>172</v>
      </c>
      <c r="B47" t="s">
        <v>173</v>
      </c>
      <c r="C47" t="s">
        <v>174</v>
      </c>
    </row>
    <row r="48" spans="1:3" x14ac:dyDescent="0.2">
      <c r="A48" t="s">
        <v>175</v>
      </c>
      <c r="B48" t="s">
        <v>176</v>
      </c>
      <c r="C48" t="s">
        <v>177</v>
      </c>
    </row>
    <row r="49" spans="1:3" x14ac:dyDescent="0.2">
      <c r="A49" t="s">
        <v>178</v>
      </c>
      <c r="B49" t="s">
        <v>179</v>
      </c>
      <c r="C49" t="s">
        <v>180</v>
      </c>
    </row>
    <row r="50" spans="1:3" x14ac:dyDescent="0.2">
      <c r="A50" t="s">
        <v>181</v>
      </c>
      <c r="B50" t="s">
        <v>182</v>
      </c>
      <c r="C50" t="s">
        <v>183</v>
      </c>
    </row>
    <row r="51" spans="1:3" x14ac:dyDescent="0.2">
      <c r="A51" t="s">
        <v>184</v>
      </c>
      <c r="B51" t="s">
        <v>185</v>
      </c>
      <c r="C51" t="s">
        <v>186</v>
      </c>
    </row>
    <row r="52" spans="1:3" x14ac:dyDescent="0.2">
      <c r="A52" t="s">
        <v>187</v>
      </c>
      <c r="B52" t="s">
        <v>188</v>
      </c>
      <c r="C52" t="s">
        <v>189</v>
      </c>
    </row>
    <row r="53" spans="1:3" x14ac:dyDescent="0.2">
      <c r="A53" t="s">
        <v>190</v>
      </c>
      <c r="B53" t="s">
        <v>191</v>
      </c>
      <c r="C53" t="s">
        <v>192</v>
      </c>
    </row>
    <row r="54" spans="1:3" x14ac:dyDescent="0.2">
      <c r="A54" t="s">
        <v>193</v>
      </c>
      <c r="B54" t="s">
        <v>194</v>
      </c>
      <c r="C54" t="s">
        <v>195</v>
      </c>
    </row>
    <row r="55" spans="1:3" x14ac:dyDescent="0.2">
      <c r="A55" t="s">
        <v>196</v>
      </c>
      <c r="B55" t="s">
        <v>197</v>
      </c>
      <c r="C55" t="s">
        <v>198</v>
      </c>
    </row>
    <row r="56" spans="1:3" x14ac:dyDescent="0.2">
      <c r="A56" t="s">
        <v>199</v>
      </c>
      <c r="B56" t="s">
        <v>200</v>
      </c>
      <c r="C56" t="s">
        <v>201</v>
      </c>
    </row>
    <row r="57" spans="1:3" x14ac:dyDescent="0.2">
      <c r="A57" t="s">
        <v>202</v>
      </c>
      <c r="B57" t="s">
        <v>203</v>
      </c>
      <c r="C57" t="s">
        <v>204</v>
      </c>
    </row>
    <row r="58" spans="1:3" x14ac:dyDescent="0.2">
      <c r="A58" t="s">
        <v>205</v>
      </c>
      <c r="B58" t="s">
        <v>206</v>
      </c>
      <c r="C58" t="s">
        <v>207</v>
      </c>
    </row>
    <row r="59" spans="1:3" x14ac:dyDescent="0.2">
      <c r="A59" t="s">
        <v>208</v>
      </c>
      <c r="B59" t="s">
        <v>209</v>
      </c>
      <c r="C59" t="s">
        <v>210</v>
      </c>
    </row>
    <row r="60" spans="1:3" x14ac:dyDescent="0.2">
      <c r="A60" t="s">
        <v>211</v>
      </c>
      <c r="B60" t="s">
        <v>212</v>
      </c>
      <c r="C60" t="s">
        <v>213</v>
      </c>
    </row>
    <row r="61" spans="1:3" x14ac:dyDescent="0.2">
      <c r="A61" t="s">
        <v>214</v>
      </c>
      <c r="B61" t="s">
        <v>215</v>
      </c>
      <c r="C61" t="s">
        <v>216</v>
      </c>
    </row>
    <row r="62" spans="1:3" x14ac:dyDescent="0.2">
      <c r="A62" t="s">
        <v>217</v>
      </c>
      <c r="B62" t="s">
        <v>218</v>
      </c>
      <c r="C62" t="s">
        <v>219</v>
      </c>
    </row>
    <row r="63" spans="1:3" x14ac:dyDescent="0.2">
      <c r="A63" t="s">
        <v>220</v>
      </c>
      <c r="B63" t="s">
        <v>221</v>
      </c>
      <c r="C63" t="s">
        <v>222</v>
      </c>
    </row>
    <row r="64" spans="1:3" x14ac:dyDescent="0.2">
      <c r="A64" t="s">
        <v>223</v>
      </c>
      <c r="B64" t="s">
        <v>224</v>
      </c>
      <c r="C64" t="s">
        <v>225</v>
      </c>
    </row>
    <row r="65" spans="1:3" x14ac:dyDescent="0.2">
      <c r="A65" t="s">
        <v>226</v>
      </c>
      <c r="B65" t="s">
        <v>227</v>
      </c>
      <c r="C65" t="s">
        <v>228</v>
      </c>
    </row>
    <row r="66" spans="1:3" x14ac:dyDescent="0.2">
      <c r="A66" t="s">
        <v>229</v>
      </c>
      <c r="B66" t="s">
        <v>230</v>
      </c>
      <c r="C66" t="s">
        <v>231</v>
      </c>
    </row>
    <row r="67" spans="1:3" x14ac:dyDescent="0.2">
      <c r="A67" t="s">
        <v>232</v>
      </c>
      <c r="B67" t="s">
        <v>233</v>
      </c>
      <c r="C67" t="s">
        <v>234</v>
      </c>
    </row>
    <row r="68" spans="1:3" x14ac:dyDescent="0.2">
      <c r="A68" t="s">
        <v>235</v>
      </c>
      <c r="B68" t="s">
        <v>236</v>
      </c>
      <c r="C68" t="s">
        <v>237</v>
      </c>
    </row>
    <row r="69" spans="1:3" x14ac:dyDescent="0.2">
      <c r="A69" t="s">
        <v>238</v>
      </c>
      <c r="B69" t="s">
        <v>239</v>
      </c>
      <c r="C69" t="s">
        <v>240</v>
      </c>
    </row>
    <row r="70" spans="1:3" x14ac:dyDescent="0.2">
      <c r="A70" t="s">
        <v>241</v>
      </c>
      <c r="B70" t="s">
        <v>242</v>
      </c>
      <c r="C70" t="s">
        <v>243</v>
      </c>
    </row>
    <row r="71" spans="1:3" x14ac:dyDescent="0.2">
      <c r="A71" t="s">
        <v>244</v>
      </c>
      <c r="B71" t="s">
        <v>245</v>
      </c>
      <c r="C71" t="s">
        <v>246</v>
      </c>
    </row>
    <row r="72" spans="1:3" x14ac:dyDescent="0.2">
      <c r="A72" t="s">
        <v>247</v>
      </c>
      <c r="B72" t="s">
        <v>248</v>
      </c>
      <c r="C72" t="s">
        <v>249</v>
      </c>
    </row>
    <row r="73" spans="1:3" x14ac:dyDescent="0.2">
      <c r="A73" t="s">
        <v>250</v>
      </c>
      <c r="B73" t="s">
        <v>251</v>
      </c>
      <c r="C73" t="s">
        <v>252</v>
      </c>
    </row>
    <row r="74" spans="1:3" x14ac:dyDescent="0.2">
      <c r="A74" t="s">
        <v>253</v>
      </c>
      <c r="B74" t="s">
        <v>254</v>
      </c>
      <c r="C74" t="s">
        <v>255</v>
      </c>
    </row>
    <row r="75" spans="1:3" x14ac:dyDescent="0.2">
      <c r="A75" t="s">
        <v>256</v>
      </c>
      <c r="B75" t="s">
        <v>257</v>
      </c>
      <c r="C75" t="s">
        <v>258</v>
      </c>
    </row>
    <row r="76" spans="1:3" x14ac:dyDescent="0.2">
      <c r="A76" t="s">
        <v>259</v>
      </c>
      <c r="B76" t="s">
        <v>260</v>
      </c>
      <c r="C76" t="s">
        <v>261</v>
      </c>
    </row>
    <row r="77" spans="1:3" x14ac:dyDescent="0.2">
      <c r="A77" t="s">
        <v>262</v>
      </c>
      <c r="B77" t="s">
        <v>263</v>
      </c>
      <c r="C77" t="s">
        <v>264</v>
      </c>
    </row>
    <row r="78" spans="1:3" x14ac:dyDescent="0.2">
      <c r="A78" t="s">
        <v>265</v>
      </c>
      <c r="B78" t="s">
        <v>266</v>
      </c>
      <c r="C78" t="s">
        <v>267</v>
      </c>
    </row>
    <row r="79" spans="1:3" x14ac:dyDescent="0.2">
      <c r="A79" t="s">
        <v>268</v>
      </c>
      <c r="B79" t="s">
        <v>269</v>
      </c>
      <c r="C79" t="s">
        <v>270</v>
      </c>
    </row>
    <row r="80" spans="1:3" x14ac:dyDescent="0.2">
      <c r="A80" t="s">
        <v>271</v>
      </c>
      <c r="B80" t="s">
        <v>272</v>
      </c>
      <c r="C80" t="s">
        <v>273</v>
      </c>
    </row>
    <row r="81" spans="1:3" x14ac:dyDescent="0.2">
      <c r="A81" t="s">
        <v>274</v>
      </c>
      <c r="B81" t="s">
        <v>275</v>
      </c>
      <c r="C81" t="s">
        <v>276</v>
      </c>
    </row>
    <row r="82" spans="1:3" x14ac:dyDescent="0.2">
      <c r="A82" t="s">
        <v>277</v>
      </c>
      <c r="B82" t="s">
        <v>278</v>
      </c>
      <c r="C82" t="s">
        <v>279</v>
      </c>
    </row>
    <row r="83" spans="1:3" x14ac:dyDescent="0.2">
      <c r="A83" t="s">
        <v>280</v>
      </c>
      <c r="B83" t="s">
        <v>281</v>
      </c>
      <c r="C83" t="s">
        <v>282</v>
      </c>
    </row>
    <row r="84" spans="1:3" x14ac:dyDescent="0.2">
      <c r="A84" t="s">
        <v>283</v>
      </c>
      <c r="B84" t="s">
        <v>284</v>
      </c>
      <c r="C84" t="s">
        <v>285</v>
      </c>
    </row>
    <row r="85" spans="1:3" x14ac:dyDescent="0.2">
      <c r="A85" t="s">
        <v>286</v>
      </c>
      <c r="B85" t="s">
        <v>287</v>
      </c>
      <c r="C85" t="s">
        <v>288</v>
      </c>
    </row>
    <row r="86" spans="1:3" x14ac:dyDescent="0.2">
      <c r="A86" t="s">
        <v>289</v>
      </c>
      <c r="B86" t="s">
        <v>290</v>
      </c>
      <c r="C86" t="s">
        <v>291</v>
      </c>
    </row>
    <row r="87" spans="1:3" x14ac:dyDescent="0.2">
      <c r="A87" t="s">
        <v>292</v>
      </c>
      <c r="B87" t="s">
        <v>293</v>
      </c>
      <c r="C87" t="s">
        <v>294</v>
      </c>
    </row>
    <row r="88" spans="1:3" x14ac:dyDescent="0.2">
      <c r="A88" t="s">
        <v>295</v>
      </c>
      <c r="B88" t="s">
        <v>296</v>
      </c>
      <c r="C88" t="s">
        <v>297</v>
      </c>
    </row>
    <row r="89" spans="1:3" x14ac:dyDescent="0.2">
      <c r="A89" t="s">
        <v>298</v>
      </c>
      <c r="B89" t="s">
        <v>299</v>
      </c>
      <c r="C89" t="s">
        <v>300</v>
      </c>
    </row>
    <row r="90" spans="1:3" x14ac:dyDescent="0.2">
      <c r="A90" t="s">
        <v>301</v>
      </c>
      <c r="B90" t="s">
        <v>302</v>
      </c>
      <c r="C90" t="s">
        <v>303</v>
      </c>
    </row>
    <row r="91" spans="1:3" x14ac:dyDescent="0.2">
      <c r="A91" t="s">
        <v>304</v>
      </c>
      <c r="B91" t="s">
        <v>305</v>
      </c>
      <c r="C91" t="s">
        <v>306</v>
      </c>
    </row>
    <row r="92" spans="1:3" x14ac:dyDescent="0.2">
      <c r="A92" t="s">
        <v>307</v>
      </c>
      <c r="B92" t="s">
        <v>308</v>
      </c>
      <c r="C92" t="s">
        <v>309</v>
      </c>
    </row>
    <row r="93" spans="1:3" x14ac:dyDescent="0.2">
      <c r="A93" t="s">
        <v>310</v>
      </c>
      <c r="B93" t="s">
        <v>311</v>
      </c>
      <c r="C93" t="s">
        <v>312</v>
      </c>
    </row>
    <row r="94" spans="1:3" x14ac:dyDescent="0.2">
      <c r="A94" t="s">
        <v>313</v>
      </c>
      <c r="B94" t="s">
        <v>314</v>
      </c>
      <c r="C94" t="s">
        <v>315</v>
      </c>
    </row>
    <row r="95" spans="1:3" x14ac:dyDescent="0.2">
      <c r="A95" t="s">
        <v>316</v>
      </c>
      <c r="B95" t="s">
        <v>317</v>
      </c>
      <c r="C95" t="s">
        <v>318</v>
      </c>
    </row>
    <row r="96" spans="1:3" x14ac:dyDescent="0.2">
      <c r="A96" t="s">
        <v>319</v>
      </c>
      <c r="B96" t="s">
        <v>320</v>
      </c>
      <c r="C96" t="s">
        <v>321</v>
      </c>
    </row>
    <row r="97" spans="1:3" x14ac:dyDescent="0.2">
      <c r="A97" t="s">
        <v>322</v>
      </c>
      <c r="B97" t="s">
        <v>323</v>
      </c>
      <c r="C97" t="s">
        <v>324</v>
      </c>
    </row>
    <row r="98" spans="1:3" x14ac:dyDescent="0.2">
      <c r="A98" t="s">
        <v>325</v>
      </c>
      <c r="B98" t="s">
        <v>326</v>
      </c>
      <c r="C98" t="s">
        <v>327</v>
      </c>
    </row>
    <row r="99" spans="1:3" x14ac:dyDescent="0.2">
      <c r="A99" t="s">
        <v>328</v>
      </c>
      <c r="B99" t="s">
        <v>329</v>
      </c>
      <c r="C99" t="s">
        <v>330</v>
      </c>
    </row>
    <row r="100" spans="1:3" x14ac:dyDescent="0.2">
      <c r="A100" t="s">
        <v>331</v>
      </c>
      <c r="B100" t="s">
        <v>332</v>
      </c>
      <c r="C100" t="s">
        <v>333</v>
      </c>
    </row>
    <row r="101" spans="1:3" x14ac:dyDescent="0.2">
      <c r="A101" t="s">
        <v>334</v>
      </c>
      <c r="B101" t="s">
        <v>335</v>
      </c>
      <c r="C101" t="s">
        <v>336</v>
      </c>
    </row>
    <row r="102" spans="1:3" x14ac:dyDescent="0.2">
      <c r="A102" t="s">
        <v>337</v>
      </c>
      <c r="B102" t="s">
        <v>338</v>
      </c>
      <c r="C102" t="s">
        <v>339</v>
      </c>
    </row>
    <row r="103" spans="1:3" x14ac:dyDescent="0.2">
      <c r="A103" t="s">
        <v>340</v>
      </c>
      <c r="B103" t="s">
        <v>341</v>
      </c>
      <c r="C103" t="s">
        <v>342</v>
      </c>
    </row>
    <row r="104" spans="1:3" x14ac:dyDescent="0.2">
      <c r="A104" t="s">
        <v>343</v>
      </c>
      <c r="B104" t="s">
        <v>344</v>
      </c>
      <c r="C104" t="s">
        <v>345</v>
      </c>
    </row>
    <row r="105" spans="1:3" x14ac:dyDescent="0.2">
      <c r="A105" t="s">
        <v>346</v>
      </c>
      <c r="B105" t="s">
        <v>347</v>
      </c>
      <c r="C105" t="s">
        <v>348</v>
      </c>
    </row>
    <row r="106" spans="1:3" x14ac:dyDescent="0.2">
      <c r="A106" t="s">
        <v>349</v>
      </c>
      <c r="B106" t="s">
        <v>350</v>
      </c>
      <c r="C106" t="s">
        <v>351</v>
      </c>
    </row>
    <row r="107" spans="1:3" x14ac:dyDescent="0.2">
      <c r="A107" t="s">
        <v>352</v>
      </c>
      <c r="B107" t="s">
        <v>353</v>
      </c>
      <c r="C107" t="s">
        <v>354</v>
      </c>
    </row>
    <row r="108" spans="1:3" x14ac:dyDescent="0.2">
      <c r="A108" t="s">
        <v>355</v>
      </c>
      <c r="B108" t="s">
        <v>356</v>
      </c>
      <c r="C108" t="s">
        <v>357</v>
      </c>
    </row>
    <row r="109" spans="1:3" x14ac:dyDescent="0.2">
      <c r="A109" t="s">
        <v>358</v>
      </c>
      <c r="B109" t="s">
        <v>359</v>
      </c>
      <c r="C109" t="s">
        <v>360</v>
      </c>
    </row>
    <row r="110" spans="1:3" x14ac:dyDescent="0.2">
      <c r="A110" t="s">
        <v>361</v>
      </c>
      <c r="B110" t="s">
        <v>362</v>
      </c>
      <c r="C110" t="s">
        <v>363</v>
      </c>
    </row>
    <row r="111" spans="1:3" x14ac:dyDescent="0.2">
      <c r="A111" t="s">
        <v>364</v>
      </c>
      <c r="B111" t="s">
        <v>365</v>
      </c>
      <c r="C111" t="s">
        <v>366</v>
      </c>
    </row>
    <row r="112" spans="1:3" x14ac:dyDescent="0.2">
      <c r="A112" t="s">
        <v>367</v>
      </c>
      <c r="B112" t="s">
        <v>368</v>
      </c>
      <c r="C112" t="s">
        <v>369</v>
      </c>
    </row>
    <row r="113" spans="1:3" x14ac:dyDescent="0.2">
      <c r="A113" t="s">
        <v>370</v>
      </c>
      <c r="B113" t="s">
        <v>371</v>
      </c>
      <c r="C113" t="s">
        <v>372</v>
      </c>
    </row>
    <row r="114" spans="1:3" x14ac:dyDescent="0.2">
      <c r="A114" t="s">
        <v>373</v>
      </c>
      <c r="B114" t="s">
        <v>374</v>
      </c>
      <c r="C114" t="s">
        <v>375</v>
      </c>
    </row>
    <row r="115" spans="1:3" x14ac:dyDescent="0.2">
      <c r="A115" t="s">
        <v>376</v>
      </c>
      <c r="B115" t="s">
        <v>377</v>
      </c>
      <c r="C115" t="s">
        <v>378</v>
      </c>
    </row>
    <row r="116" spans="1:3" x14ac:dyDescent="0.2">
      <c r="A116" t="s">
        <v>379</v>
      </c>
      <c r="B116" t="s">
        <v>380</v>
      </c>
      <c r="C116" t="s">
        <v>381</v>
      </c>
    </row>
    <row r="117" spans="1:3" x14ac:dyDescent="0.2">
      <c r="A117" t="s">
        <v>382</v>
      </c>
      <c r="B117" t="s">
        <v>383</v>
      </c>
      <c r="C117" t="s">
        <v>384</v>
      </c>
    </row>
    <row r="118" spans="1:3" x14ac:dyDescent="0.2">
      <c r="A118" t="s">
        <v>385</v>
      </c>
      <c r="B118" t="s">
        <v>386</v>
      </c>
      <c r="C118" t="s">
        <v>387</v>
      </c>
    </row>
    <row r="119" spans="1:3" x14ac:dyDescent="0.2">
      <c r="A119" t="s">
        <v>388</v>
      </c>
      <c r="B119" t="s">
        <v>389</v>
      </c>
      <c r="C119" t="s">
        <v>390</v>
      </c>
    </row>
    <row r="120" spans="1:3" x14ac:dyDescent="0.2">
      <c r="A120" t="s">
        <v>391</v>
      </c>
      <c r="B120" t="s">
        <v>392</v>
      </c>
      <c r="C120" t="s">
        <v>393</v>
      </c>
    </row>
    <row r="121" spans="1:3" x14ac:dyDescent="0.2">
      <c r="A121" t="s">
        <v>394</v>
      </c>
      <c r="B121" t="s">
        <v>395</v>
      </c>
      <c r="C121" t="s">
        <v>396</v>
      </c>
    </row>
    <row r="122" spans="1:3" x14ac:dyDescent="0.2">
      <c r="A122" t="s">
        <v>397</v>
      </c>
      <c r="B122" t="s">
        <v>398</v>
      </c>
      <c r="C122" t="s">
        <v>399</v>
      </c>
    </row>
    <row r="123" spans="1:3" x14ac:dyDescent="0.2">
      <c r="A123" t="s">
        <v>400</v>
      </c>
      <c r="B123" t="s">
        <v>401</v>
      </c>
      <c r="C123" t="s">
        <v>402</v>
      </c>
    </row>
    <row r="124" spans="1:3" x14ac:dyDescent="0.2">
      <c r="A124" t="s">
        <v>403</v>
      </c>
      <c r="B124" t="s">
        <v>404</v>
      </c>
      <c r="C124" t="s">
        <v>405</v>
      </c>
    </row>
    <row r="125" spans="1:3" x14ac:dyDescent="0.2">
      <c r="A125" t="s">
        <v>406</v>
      </c>
      <c r="B125" t="s">
        <v>407</v>
      </c>
      <c r="C125" t="s">
        <v>408</v>
      </c>
    </row>
    <row r="126" spans="1:3" x14ac:dyDescent="0.2">
      <c r="A126" t="s">
        <v>409</v>
      </c>
      <c r="B126" t="s">
        <v>410</v>
      </c>
      <c r="C126" t="s">
        <v>411</v>
      </c>
    </row>
    <row r="127" spans="1:3" x14ac:dyDescent="0.2">
      <c r="A127" t="s">
        <v>412</v>
      </c>
      <c r="B127" t="s">
        <v>413</v>
      </c>
      <c r="C127" t="s">
        <v>414</v>
      </c>
    </row>
    <row r="128" spans="1:3" x14ac:dyDescent="0.2">
      <c r="A128" t="s">
        <v>415</v>
      </c>
      <c r="B128" t="s">
        <v>416</v>
      </c>
      <c r="C128" t="s">
        <v>417</v>
      </c>
    </row>
    <row r="129" spans="1:3" x14ac:dyDescent="0.2">
      <c r="A129" t="s">
        <v>418</v>
      </c>
      <c r="B129" t="s">
        <v>419</v>
      </c>
      <c r="C129" t="s">
        <v>420</v>
      </c>
    </row>
    <row r="130" spans="1:3" x14ac:dyDescent="0.2">
      <c r="A130" t="s">
        <v>421</v>
      </c>
      <c r="B130" t="s">
        <v>422</v>
      </c>
      <c r="C130" t="s">
        <v>423</v>
      </c>
    </row>
    <row r="131" spans="1:3" x14ac:dyDescent="0.2">
      <c r="A131" t="s">
        <v>424</v>
      </c>
      <c r="B131" t="s">
        <v>425</v>
      </c>
      <c r="C131" t="s">
        <v>426</v>
      </c>
    </row>
    <row r="132" spans="1:3" x14ac:dyDescent="0.2">
      <c r="A132" t="s">
        <v>427</v>
      </c>
      <c r="B132" t="s">
        <v>428</v>
      </c>
      <c r="C132" t="s">
        <v>429</v>
      </c>
    </row>
    <row r="133" spans="1:3" x14ac:dyDescent="0.2">
      <c r="A133" t="s">
        <v>430</v>
      </c>
      <c r="B133" t="s">
        <v>431</v>
      </c>
      <c r="C133" t="s">
        <v>432</v>
      </c>
    </row>
    <row r="134" spans="1:3" x14ac:dyDescent="0.2">
      <c r="A134" t="s">
        <v>433</v>
      </c>
      <c r="B134" t="s">
        <v>434</v>
      </c>
      <c r="C134" t="s">
        <v>435</v>
      </c>
    </row>
    <row r="135" spans="1:3" x14ac:dyDescent="0.2">
      <c r="A135" t="s">
        <v>436</v>
      </c>
      <c r="B135" t="s">
        <v>437</v>
      </c>
      <c r="C135" t="s">
        <v>438</v>
      </c>
    </row>
    <row r="136" spans="1:3" x14ac:dyDescent="0.2">
      <c r="A136" t="s">
        <v>439</v>
      </c>
      <c r="B136" t="s">
        <v>440</v>
      </c>
      <c r="C136" t="s">
        <v>441</v>
      </c>
    </row>
    <row r="137" spans="1:3" x14ac:dyDescent="0.2">
      <c r="A137" t="s">
        <v>442</v>
      </c>
      <c r="B137" t="s">
        <v>443</v>
      </c>
      <c r="C137" t="s">
        <v>444</v>
      </c>
    </row>
    <row r="138" spans="1:3" x14ac:dyDescent="0.2">
      <c r="A138" t="s">
        <v>445</v>
      </c>
      <c r="B138" t="s">
        <v>446</v>
      </c>
      <c r="C138" t="s">
        <v>447</v>
      </c>
    </row>
    <row r="139" spans="1:3" x14ac:dyDescent="0.2">
      <c r="A139" t="s">
        <v>448</v>
      </c>
      <c r="B139" t="s">
        <v>449</v>
      </c>
      <c r="C139" t="s">
        <v>450</v>
      </c>
    </row>
    <row r="140" spans="1:3" x14ac:dyDescent="0.2">
      <c r="A140" t="s">
        <v>451</v>
      </c>
      <c r="B140" t="s">
        <v>452</v>
      </c>
      <c r="C140" t="s">
        <v>453</v>
      </c>
    </row>
    <row r="141" spans="1:3" x14ac:dyDescent="0.2">
      <c r="A141" t="s">
        <v>454</v>
      </c>
      <c r="B141" t="s">
        <v>455</v>
      </c>
      <c r="C141" t="s">
        <v>456</v>
      </c>
    </row>
    <row r="142" spans="1:3" x14ac:dyDescent="0.2">
      <c r="A142" t="s">
        <v>457</v>
      </c>
      <c r="B142" t="s">
        <v>458</v>
      </c>
      <c r="C142" t="s">
        <v>459</v>
      </c>
    </row>
    <row r="143" spans="1:3" x14ac:dyDescent="0.2">
      <c r="A143" t="s">
        <v>460</v>
      </c>
      <c r="B143" t="s">
        <v>461</v>
      </c>
      <c r="C143" t="s">
        <v>462</v>
      </c>
    </row>
    <row r="144" spans="1:3" x14ac:dyDescent="0.2">
      <c r="A144" t="s">
        <v>463</v>
      </c>
      <c r="B144" t="s">
        <v>464</v>
      </c>
      <c r="C144" t="s">
        <v>465</v>
      </c>
    </row>
    <row r="145" spans="1:3" x14ac:dyDescent="0.2">
      <c r="A145" t="s">
        <v>466</v>
      </c>
      <c r="B145" t="s">
        <v>467</v>
      </c>
      <c r="C145" t="s">
        <v>468</v>
      </c>
    </row>
    <row r="146" spans="1:3" x14ac:dyDescent="0.2">
      <c r="A146" t="s">
        <v>469</v>
      </c>
      <c r="B146" t="s">
        <v>470</v>
      </c>
      <c r="C146" t="s">
        <v>471</v>
      </c>
    </row>
    <row r="147" spans="1:3" x14ac:dyDescent="0.2">
      <c r="A147" t="s">
        <v>472</v>
      </c>
      <c r="B147" t="s">
        <v>473</v>
      </c>
      <c r="C147" t="s">
        <v>474</v>
      </c>
    </row>
    <row r="148" spans="1:3" x14ac:dyDescent="0.2">
      <c r="A148" t="s">
        <v>475</v>
      </c>
      <c r="B148" t="s">
        <v>476</v>
      </c>
      <c r="C148" t="s">
        <v>477</v>
      </c>
    </row>
    <row r="149" spans="1:3" x14ac:dyDescent="0.2">
      <c r="A149" t="s">
        <v>478</v>
      </c>
      <c r="B149" t="s">
        <v>479</v>
      </c>
      <c r="C149" t="s">
        <v>480</v>
      </c>
    </row>
    <row r="150" spans="1:3" x14ac:dyDescent="0.2">
      <c r="A150" t="s">
        <v>481</v>
      </c>
      <c r="B150" t="s">
        <v>482</v>
      </c>
      <c r="C150" t="s">
        <v>483</v>
      </c>
    </row>
    <row r="151" spans="1:3" x14ac:dyDescent="0.2">
      <c r="A151" t="s">
        <v>484</v>
      </c>
      <c r="B151" t="s">
        <v>485</v>
      </c>
      <c r="C151" t="s">
        <v>486</v>
      </c>
    </row>
    <row r="152" spans="1:3" x14ac:dyDescent="0.2">
      <c r="A152" t="s">
        <v>487</v>
      </c>
      <c r="B152" t="s">
        <v>488</v>
      </c>
      <c r="C152" t="s">
        <v>489</v>
      </c>
    </row>
    <row r="153" spans="1:3" x14ac:dyDescent="0.2">
      <c r="A153" t="s">
        <v>490</v>
      </c>
      <c r="B153" t="s">
        <v>491</v>
      </c>
      <c r="C153" t="s">
        <v>492</v>
      </c>
    </row>
    <row r="154" spans="1:3" x14ac:dyDescent="0.2">
      <c r="A154" t="s">
        <v>493</v>
      </c>
      <c r="B154" t="s">
        <v>494</v>
      </c>
      <c r="C154" t="s">
        <v>495</v>
      </c>
    </row>
    <row r="155" spans="1:3" x14ac:dyDescent="0.2">
      <c r="A155" t="s">
        <v>496</v>
      </c>
      <c r="B155" t="s">
        <v>497</v>
      </c>
      <c r="C155" t="s">
        <v>498</v>
      </c>
    </row>
    <row r="156" spans="1:3" x14ac:dyDescent="0.2">
      <c r="A156" t="s">
        <v>499</v>
      </c>
      <c r="B156" t="s">
        <v>500</v>
      </c>
      <c r="C156" t="s">
        <v>501</v>
      </c>
    </row>
    <row r="157" spans="1:3" x14ac:dyDescent="0.2">
      <c r="A157" t="s">
        <v>502</v>
      </c>
      <c r="B157" t="s">
        <v>503</v>
      </c>
      <c r="C157" t="s">
        <v>504</v>
      </c>
    </row>
    <row r="158" spans="1:3" x14ac:dyDescent="0.2">
      <c r="A158" t="s">
        <v>505</v>
      </c>
      <c r="B158" t="s">
        <v>506</v>
      </c>
      <c r="C158" t="s">
        <v>507</v>
      </c>
    </row>
    <row r="159" spans="1:3" x14ac:dyDescent="0.2">
      <c r="A159" t="s">
        <v>508</v>
      </c>
      <c r="B159" t="s">
        <v>509</v>
      </c>
      <c r="C159" t="s">
        <v>510</v>
      </c>
    </row>
    <row r="160" spans="1:3" x14ac:dyDescent="0.2">
      <c r="A160" t="s">
        <v>511</v>
      </c>
      <c r="B160" t="s">
        <v>512</v>
      </c>
      <c r="C160" t="s">
        <v>513</v>
      </c>
    </row>
    <row r="161" spans="1:3" x14ac:dyDescent="0.2">
      <c r="A161" t="s">
        <v>514</v>
      </c>
      <c r="B161" t="s">
        <v>515</v>
      </c>
      <c r="C161" t="s">
        <v>516</v>
      </c>
    </row>
    <row r="162" spans="1:3" x14ac:dyDescent="0.2">
      <c r="A162" t="s">
        <v>517</v>
      </c>
      <c r="B162" t="s">
        <v>518</v>
      </c>
      <c r="C162" t="s">
        <v>519</v>
      </c>
    </row>
    <row r="163" spans="1:3" x14ac:dyDescent="0.2">
      <c r="A163" t="s">
        <v>520</v>
      </c>
      <c r="B163" t="s">
        <v>521</v>
      </c>
      <c r="C163" t="s">
        <v>522</v>
      </c>
    </row>
    <row r="164" spans="1:3" x14ac:dyDescent="0.2">
      <c r="A164" t="s">
        <v>523</v>
      </c>
      <c r="B164" t="s">
        <v>524</v>
      </c>
      <c r="C164" t="s">
        <v>525</v>
      </c>
    </row>
    <row r="165" spans="1:3" x14ac:dyDescent="0.2">
      <c r="A165" t="s">
        <v>526</v>
      </c>
      <c r="B165" t="s">
        <v>527</v>
      </c>
      <c r="C165" t="s">
        <v>528</v>
      </c>
    </row>
    <row r="166" spans="1:3" x14ac:dyDescent="0.2">
      <c r="A166" t="s">
        <v>529</v>
      </c>
      <c r="B166" t="s">
        <v>530</v>
      </c>
      <c r="C166" t="s">
        <v>531</v>
      </c>
    </row>
    <row r="167" spans="1:3" x14ac:dyDescent="0.2">
      <c r="A167" t="s">
        <v>532</v>
      </c>
      <c r="B167" t="s">
        <v>533</v>
      </c>
      <c r="C167" t="s">
        <v>534</v>
      </c>
    </row>
    <row r="168" spans="1:3" x14ac:dyDescent="0.2">
      <c r="A168" t="s">
        <v>535</v>
      </c>
      <c r="B168" t="s">
        <v>536</v>
      </c>
      <c r="C168" t="s">
        <v>537</v>
      </c>
    </row>
    <row r="169" spans="1:3" x14ac:dyDescent="0.2">
      <c r="A169" t="s">
        <v>538</v>
      </c>
      <c r="B169" t="s">
        <v>539</v>
      </c>
      <c r="C169" t="s">
        <v>540</v>
      </c>
    </row>
    <row r="170" spans="1:3" x14ac:dyDescent="0.2">
      <c r="A170" t="s">
        <v>541</v>
      </c>
      <c r="B170" t="s">
        <v>542</v>
      </c>
      <c r="C170" t="s">
        <v>543</v>
      </c>
    </row>
    <row r="171" spans="1:3" x14ac:dyDescent="0.2">
      <c r="A171" t="s">
        <v>544</v>
      </c>
      <c r="B171" t="s">
        <v>545</v>
      </c>
      <c r="C171" t="s">
        <v>546</v>
      </c>
    </row>
    <row r="172" spans="1:3" x14ac:dyDescent="0.2">
      <c r="A172" t="s">
        <v>547</v>
      </c>
      <c r="B172" t="s">
        <v>548</v>
      </c>
      <c r="C172" t="s">
        <v>549</v>
      </c>
    </row>
    <row r="173" spans="1:3" x14ac:dyDescent="0.2">
      <c r="A173" t="s">
        <v>550</v>
      </c>
      <c r="B173" t="s">
        <v>551</v>
      </c>
      <c r="C173" t="s">
        <v>552</v>
      </c>
    </row>
    <row r="174" spans="1:3" x14ac:dyDescent="0.2">
      <c r="A174" t="s">
        <v>553</v>
      </c>
      <c r="B174" t="s">
        <v>554</v>
      </c>
      <c r="C174" t="s">
        <v>555</v>
      </c>
    </row>
    <row r="175" spans="1:3" x14ac:dyDescent="0.2">
      <c r="A175" t="s">
        <v>556</v>
      </c>
      <c r="B175" t="s">
        <v>557</v>
      </c>
      <c r="C175" t="s">
        <v>558</v>
      </c>
    </row>
    <row r="176" spans="1:3" x14ac:dyDescent="0.2">
      <c r="A176" t="s">
        <v>559</v>
      </c>
      <c r="B176" t="s">
        <v>560</v>
      </c>
      <c r="C176" t="s">
        <v>561</v>
      </c>
    </row>
    <row r="177" spans="1:3" x14ac:dyDescent="0.2">
      <c r="A177" t="s">
        <v>562</v>
      </c>
      <c r="B177" t="s">
        <v>563</v>
      </c>
      <c r="C177" t="s">
        <v>564</v>
      </c>
    </row>
    <row r="178" spans="1:3" x14ac:dyDescent="0.2">
      <c r="A178" t="s">
        <v>565</v>
      </c>
      <c r="B178" t="s">
        <v>566</v>
      </c>
      <c r="C178" t="s">
        <v>567</v>
      </c>
    </row>
    <row r="179" spans="1:3" x14ac:dyDescent="0.2">
      <c r="A179" t="s">
        <v>568</v>
      </c>
      <c r="B179" t="s">
        <v>569</v>
      </c>
      <c r="C179" t="s">
        <v>570</v>
      </c>
    </row>
    <row r="180" spans="1:3" x14ac:dyDescent="0.2">
      <c r="A180" t="s">
        <v>571</v>
      </c>
      <c r="B180" t="s">
        <v>572</v>
      </c>
      <c r="C180" t="s">
        <v>573</v>
      </c>
    </row>
    <row r="181" spans="1:3" x14ac:dyDescent="0.2">
      <c r="A181" t="s">
        <v>574</v>
      </c>
      <c r="B181" t="s">
        <v>575</v>
      </c>
      <c r="C181" t="s">
        <v>576</v>
      </c>
    </row>
    <row r="182" spans="1:3" x14ac:dyDescent="0.2">
      <c r="A182" t="s">
        <v>577</v>
      </c>
      <c r="B182" t="s">
        <v>578</v>
      </c>
      <c r="C182" t="s">
        <v>579</v>
      </c>
    </row>
    <row r="183" spans="1:3" x14ac:dyDescent="0.2">
      <c r="A183" t="s">
        <v>580</v>
      </c>
      <c r="B183" t="s">
        <v>581</v>
      </c>
      <c r="C183" t="s">
        <v>582</v>
      </c>
    </row>
    <row r="184" spans="1:3" x14ac:dyDescent="0.2">
      <c r="A184" t="s">
        <v>583</v>
      </c>
      <c r="B184" t="s">
        <v>584</v>
      </c>
      <c r="C184" t="s">
        <v>585</v>
      </c>
    </row>
    <row r="185" spans="1:3" x14ac:dyDescent="0.2">
      <c r="A185" t="s">
        <v>586</v>
      </c>
      <c r="B185" t="s">
        <v>587</v>
      </c>
      <c r="C185" t="s">
        <v>588</v>
      </c>
    </row>
    <row r="186" spans="1:3" x14ac:dyDescent="0.2">
      <c r="A186" t="s">
        <v>589</v>
      </c>
      <c r="B186" t="s">
        <v>590</v>
      </c>
      <c r="C186" t="s">
        <v>591</v>
      </c>
    </row>
    <row r="187" spans="1:3" x14ac:dyDescent="0.2">
      <c r="A187" t="s">
        <v>592</v>
      </c>
      <c r="B187" t="s">
        <v>593</v>
      </c>
      <c r="C187" t="s">
        <v>594</v>
      </c>
    </row>
    <row r="188" spans="1:3" x14ac:dyDescent="0.2">
      <c r="A188" t="s">
        <v>595</v>
      </c>
      <c r="B188" t="s">
        <v>596</v>
      </c>
      <c r="C188" t="s">
        <v>597</v>
      </c>
    </row>
    <row r="189" spans="1:3" x14ac:dyDescent="0.2">
      <c r="A189" t="s">
        <v>598</v>
      </c>
      <c r="B189" t="s">
        <v>599</v>
      </c>
      <c r="C189" t="s">
        <v>600</v>
      </c>
    </row>
    <row r="190" spans="1:3" x14ac:dyDescent="0.2">
      <c r="A190" t="s">
        <v>601</v>
      </c>
      <c r="B190" t="s">
        <v>602</v>
      </c>
      <c r="C190" t="s">
        <v>603</v>
      </c>
    </row>
    <row r="191" spans="1:3" x14ac:dyDescent="0.2">
      <c r="A191" t="s">
        <v>604</v>
      </c>
      <c r="B191" t="s">
        <v>605</v>
      </c>
      <c r="C191" t="s">
        <v>606</v>
      </c>
    </row>
    <row r="192" spans="1:3" x14ac:dyDescent="0.2">
      <c r="A192" t="s">
        <v>607</v>
      </c>
      <c r="B192" t="s">
        <v>608</v>
      </c>
      <c r="C192" t="s">
        <v>609</v>
      </c>
    </row>
    <row r="193" spans="1:3" x14ac:dyDescent="0.2">
      <c r="A193" t="s">
        <v>610</v>
      </c>
      <c r="B193" t="s">
        <v>611</v>
      </c>
      <c r="C193" t="s">
        <v>612</v>
      </c>
    </row>
    <row r="194" spans="1:3" x14ac:dyDescent="0.2">
      <c r="A194" t="s">
        <v>613</v>
      </c>
      <c r="B194" t="s">
        <v>614</v>
      </c>
      <c r="C194" t="s">
        <v>615</v>
      </c>
    </row>
    <row r="195" spans="1:3" x14ac:dyDescent="0.2">
      <c r="A195" t="s">
        <v>616</v>
      </c>
      <c r="B195" t="s">
        <v>617</v>
      </c>
      <c r="C195" t="s">
        <v>618</v>
      </c>
    </row>
    <row r="196" spans="1:3" x14ac:dyDescent="0.2">
      <c r="A196" t="s">
        <v>619</v>
      </c>
      <c r="B196" t="s">
        <v>620</v>
      </c>
      <c r="C196" t="s">
        <v>621</v>
      </c>
    </row>
    <row r="197" spans="1:3" x14ac:dyDescent="0.2">
      <c r="A197" t="s">
        <v>622</v>
      </c>
      <c r="B197" t="s">
        <v>623</v>
      </c>
      <c r="C197" t="s">
        <v>624</v>
      </c>
    </row>
    <row r="198" spans="1:3" x14ac:dyDescent="0.2">
      <c r="A198" t="s">
        <v>625</v>
      </c>
      <c r="B198" t="s">
        <v>626</v>
      </c>
      <c r="C198" t="s">
        <v>627</v>
      </c>
    </row>
    <row r="199" spans="1:3" x14ac:dyDescent="0.2">
      <c r="A199" t="s">
        <v>628</v>
      </c>
      <c r="B199" t="s">
        <v>629</v>
      </c>
      <c r="C199" t="s">
        <v>630</v>
      </c>
    </row>
    <row r="200" spans="1:3" x14ac:dyDescent="0.2">
      <c r="A200" t="s">
        <v>631</v>
      </c>
      <c r="B200" t="s">
        <v>632</v>
      </c>
      <c r="C200" t="s">
        <v>633</v>
      </c>
    </row>
    <row r="201" spans="1:3" x14ac:dyDescent="0.2">
      <c r="A201" t="s">
        <v>634</v>
      </c>
      <c r="B201" t="s">
        <v>635</v>
      </c>
      <c r="C201" t="s">
        <v>636</v>
      </c>
    </row>
    <row r="202" spans="1:3" x14ac:dyDescent="0.2">
      <c r="A202" t="s">
        <v>637</v>
      </c>
      <c r="B202" t="s">
        <v>638</v>
      </c>
      <c r="C202" t="s">
        <v>639</v>
      </c>
    </row>
    <row r="203" spans="1:3" x14ac:dyDescent="0.2">
      <c r="A203" t="s">
        <v>640</v>
      </c>
      <c r="B203" t="s">
        <v>641</v>
      </c>
      <c r="C203" t="s">
        <v>642</v>
      </c>
    </row>
    <row r="204" spans="1:3" x14ac:dyDescent="0.2">
      <c r="A204" t="s">
        <v>643</v>
      </c>
      <c r="B204" t="s">
        <v>644</v>
      </c>
      <c r="C204" t="s">
        <v>645</v>
      </c>
    </row>
    <row r="205" spans="1:3" x14ac:dyDescent="0.2">
      <c r="A205" t="s">
        <v>646</v>
      </c>
      <c r="B205" t="s">
        <v>647</v>
      </c>
      <c r="C205" t="s">
        <v>648</v>
      </c>
    </row>
    <row r="206" spans="1:3" x14ac:dyDescent="0.2">
      <c r="A206" t="s">
        <v>649</v>
      </c>
      <c r="B206" t="s">
        <v>650</v>
      </c>
      <c r="C206" t="s">
        <v>651</v>
      </c>
    </row>
    <row r="207" spans="1:3" x14ac:dyDescent="0.2">
      <c r="A207" t="s">
        <v>652</v>
      </c>
      <c r="B207" t="s">
        <v>653</v>
      </c>
      <c r="C207" t="s">
        <v>654</v>
      </c>
    </row>
    <row r="208" spans="1:3" x14ac:dyDescent="0.2">
      <c r="A208" t="s">
        <v>655</v>
      </c>
      <c r="B208" t="s">
        <v>656</v>
      </c>
      <c r="C208" t="s">
        <v>657</v>
      </c>
    </row>
    <row r="209" spans="1:3" x14ac:dyDescent="0.2">
      <c r="A209" t="s">
        <v>658</v>
      </c>
      <c r="B209" t="s">
        <v>659</v>
      </c>
      <c r="C209" t="s">
        <v>660</v>
      </c>
    </row>
    <row r="210" spans="1:3" x14ac:dyDescent="0.2">
      <c r="A210" t="s">
        <v>661</v>
      </c>
      <c r="B210" t="s">
        <v>662</v>
      </c>
      <c r="C210" t="s">
        <v>663</v>
      </c>
    </row>
    <row r="211" spans="1:3" x14ac:dyDescent="0.2">
      <c r="A211" t="s">
        <v>664</v>
      </c>
      <c r="B211" t="s">
        <v>665</v>
      </c>
      <c r="C211" t="s">
        <v>666</v>
      </c>
    </row>
    <row r="212" spans="1:3" x14ac:dyDescent="0.2">
      <c r="A212" t="s">
        <v>667</v>
      </c>
      <c r="B212" t="s">
        <v>668</v>
      </c>
      <c r="C212" t="s">
        <v>669</v>
      </c>
    </row>
    <row r="213" spans="1:3" x14ac:dyDescent="0.2">
      <c r="A213" t="s">
        <v>670</v>
      </c>
      <c r="B213" t="s">
        <v>671</v>
      </c>
      <c r="C213" t="s">
        <v>672</v>
      </c>
    </row>
    <row r="214" spans="1:3" x14ac:dyDescent="0.2">
      <c r="A214" t="s">
        <v>673</v>
      </c>
      <c r="B214" t="s">
        <v>674</v>
      </c>
      <c r="C214" t="s">
        <v>675</v>
      </c>
    </row>
    <row r="215" spans="1:3" x14ac:dyDescent="0.2">
      <c r="A215" t="s">
        <v>676</v>
      </c>
      <c r="B215" t="s">
        <v>677</v>
      </c>
      <c r="C215" t="s">
        <v>678</v>
      </c>
    </row>
    <row r="216" spans="1:3" x14ac:dyDescent="0.2">
      <c r="A216" t="s">
        <v>679</v>
      </c>
      <c r="B216" t="s">
        <v>680</v>
      </c>
      <c r="C216" t="s">
        <v>681</v>
      </c>
    </row>
    <row r="217" spans="1:3" x14ac:dyDescent="0.2">
      <c r="A217" t="s">
        <v>682</v>
      </c>
      <c r="B217" t="s">
        <v>683</v>
      </c>
      <c r="C217" t="s">
        <v>684</v>
      </c>
    </row>
    <row r="218" spans="1:3" x14ac:dyDescent="0.2">
      <c r="A218" t="s">
        <v>685</v>
      </c>
      <c r="B218" t="s">
        <v>686</v>
      </c>
      <c r="C218" t="s">
        <v>687</v>
      </c>
    </row>
    <row r="219" spans="1:3" x14ac:dyDescent="0.2">
      <c r="A219" t="s">
        <v>688</v>
      </c>
      <c r="B219" t="s">
        <v>689</v>
      </c>
      <c r="C219" t="s">
        <v>690</v>
      </c>
    </row>
    <row r="220" spans="1:3" x14ac:dyDescent="0.2">
      <c r="A220" t="s">
        <v>691</v>
      </c>
      <c r="B220" t="s">
        <v>692</v>
      </c>
      <c r="C220" t="s">
        <v>693</v>
      </c>
    </row>
    <row r="221" spans="1:3" x14ac:dyDescent="0.2">
      <c r="A221" t="s">
        <v>694</v>
      </c>
      <c r="B221" t="s">
        <v>695</v>
      </c>
      <c r="C221" t="s">
        <v>696</v>
      </c>
    </row>
    <row r="222" spans="1:3" x14ac:dyDescent="0.2">
      <c r="A222" t="s">
        <v>697</v>
      </c>
      <c r="B222" t="s">
        <v>698</v>
      </c>
      <c r="C222" t="s">
        <v>699</v>
      </c>
    </row>
    <row r="223" spans="1:3" x14ac:dyDescent="0.2">
      <c r="A223" t="s">
        <v>700</v>
      </c>
      <c r="B223" t="s">
        <v>701</v>
      </c>
      <c r="C223" t="s">
        <v>702</v>
      </c>
    </row>
    <row r="224" spans="1:3" x14ac:dyDescent="0.2">
      <c r="A224" t="s">
        <v>703</v>
      </c>
      <c r="B224" t="s">
        <v>704</v>
      </c>
      <c r="C224" t="s">
        <v>705</v>
      </c>
    </row>
    <row r="225" spans="1:3" x14ac:dyDescent="0.2">
      <c r="A225" t="s">
        <v>706</v>
      </c>
      <c r="B225" t="s">
        <v>707</v>
      </c>
      <c r="C225" t="s">
        <v>708</v>
      </c>
    </row>
    <row r="226" spans="1:3" x14ac:dyDescent="0.2">
      <c r="A226" t="s">
        <v>709</v>
      </c>
      <c r="B226" t="s">
        <v>710</v>
      </c>
      <c r="C226" t="s">
        <v>711</v>
      </c>
    </row>
    <row r="227" spans="1:3" x14ac:dyDescent="0.2">
      <c r="A227" t="s">
        <v>712</v>
      </c>
      <c r="B227" t="s">
        <v>713</v>
      </c>
      <c r="C227" t="s">
        <v>714</v>
      </c>
    </row>
    <row r="228" spans="1:3" x14ac:dyDescent="0.2">
      <c r="A228" t="s">
        <v>715</v>
      </c>
      <c r="B228" t="s">
        <v>716</v>
      </c>
      <c r="C228" t="s">
        <v>717</v>
      </c>
    </row>
    <row r="229" spans="1:3" x14ac:dyDescent="0.2">
      <c r="A229" t="s">
        <v>718</v>
      </c>
      <c r="B229" t="s">
        <v>719</v>
      </c>
      <c r="C229" t="s">
        <v>720</v>
      </c>
    </row>
    <row r="230" spans="1:3" x14ac:dyDescent="0.2">
      <c r="A230" t="s">
        <v>721</v>
      </c>
      <c r="B230" t="s">
        <v>722</v>
      </c>
      <c r="C230" t="s">
        <v>723</v>
      </c>
    </row>
    <row r="231" spans="1:3" x14ac:dyDescent="0.2">
      <c r="A231" t="s">
        <v>721</v>
      </c>
      <c r="B231" t="s">
        <v>724</v>
      </c>
      <c r="C231" t="s">
        <v>725</v>
      </c>
    </row>
    <row r="232" spans="1:3" x14ac:dyDescent="0.2">
      <c r="A232" t="s">
        <v>726</v>
      </c>
      <c r="B232" t="s">
        <v>727</v>
      </c>
      <c r="C232" t="s">
        <v>728</v>
      </c>
    </row>
    <row r="233" spans="1:3" x14ac:dyDescent="0.2">
      <c r="A233" t="s">
        <v>729</v>
      </c>
      <c r="B233" t="s">
        <v>730</v>
      </c>
      <c r="C233" t="s">
        <v>731</v>
      </c>
    </row>
    <row r="234" spans="1:3" x14ac:dyDescent="0.2">
      <c r="A234" t="s">
        <v>732</v>
      </c>
      <c r="B234" t="s">
        <v>733</v>
      </c>
      <c r="C234" t="s">
        <v>734</v>
      </c>
    </row>
    <row r="235" spans="1:3" x14ac:dyDescent="0.2">
      <c r="A235" t="s">
        <v>735</v>
      </c>
      <c r="B235" t="s">
        <v>736</v>
      </c>
      <c r="C235" t="s">
        <v>737</v>
      </c>
    </row>
    <row r="236" spans="1:3" x14ac:dyDescent="0.2">
      <c r="A236" t="s">
        <v>738</v>
      </c>
      <c r="B236" t="s">
        <v>739</v>
      </c>
      <c r="C236" t="s">
        <v>740</v>
      </c>
    </row>
    <row r="237" spans="1:3" x14ac:dyDescent="0.2">
      <c r="A237" t="s">
        <v>741</v>
      </c>
      <c r="B237" t="s">
        <v>742</v>
      </c>
      <c r="C237" t="s">
        <v>743</v>
      </c>
    </row>
    <row r="238" spans="1:3" x14ac:dyDescent="0.2">
      <c r="A238" t="s">
        <v>744</v>
      </c>
      <c r="B238" t="s">
        <v>745</v>
      </c>
      <c r="C238" t="s">
        <v>746</v>
      </c>
    </row>
    <row r="239" spans="1:3" x14ac:dyDescent="0.2">
      <c r="A239" t="s">
        <v>747</v>
      </c>
      <c r="B239" t="s">
        <v>748</v>
      </c>
      <c r="C239" t="s">
        <v>749</v>
      </c>
    </row>
    <row r="240" spans="1:3" x14ac:dyDescent="0.2">
      <c r="A240" t="s">
        <v>750</v>
      </c>
      <c r="B240" t="s">
        <v>751</v>
      </c>
      <c r="C240" t="s">
        <v>752</v>
      </c>
    </row>
    <row r="241" spans="1:3" x14ac:dyDescent="0.2">
      <c r="A241" t="s">
        <v>753</v>
      </c>
      <c r="B241" t="s">
        <v>754</v>
      </c>
      <c r="C241" t="s">
        <v>755</v>
      </c>
    </row>
    <row r="242" spans="1:3" x14ac:dyDescent="0.2">
      <c r="A242" t="s">
        <v>756</v>
      </c>
      <c r="B242" t="s">
        <v>757</v>
      </c>
      <c r="C242" t="s">
        <v>758</v>
      </c>
    </row>
    <row r="243" spans="1:3" x14ac:dyDescent="0.2">
      <c r="A243" t="s">
        <v>759</v>
      </c>
      <c r="B243" t="s">
        <v>760</v>
      </c>
      <c r="C243" t="s">
        <v>761</v>
      </c>
    </row>
    <row r="244" spans="1:3" x14ac:dyDescent="0.2">
      <c r="A244" t="s">
        <v>762</v>
      </c>
      <c r="B244" t="s">
        <v>763</v>
      </c>
      <c r="C244" t="s">
        <v>764</v>
      </c>
    </row>
    <row r="245" spans="1:3" x14ac:dyDescent="0.2">
      <c r="A245" t="s">
        <v>765</v>
      </c>
      <c r="B245" t="s">
        <v>766</v>
      </c>
      <c r="C245" t="s">
        <v>767</v>
      </c>
    </row>
    <row r="246" spans="1:3" x14ac:dyDescent="0.2">
      <c r="A246" t="s">
        <v>768</v>
      </c>
      <c r="B246" t="s">
        <v>769</v>
      </c>
      <c r="C246" t="s">
        <v>770</v>
      </c>
    </row>
    <row r="247" spans="1:3" x14ac:dyDescent="0.2">
      <c r="A247" t="s">
        <v>771</v>
      </c>
      <c r="B247" t="s">
        <v>772</v>
      </c>
      <c r="C247" t="s">
        <v>773</v>
      </c>
    </row>
    <row r="248" spans="1:3" x14ac:dyDescent="0.2">
      <c r="A248" t="s">
        <v>774</v>
      </c>
      <c r="B248" t="s">
        <v>775</v>
      </c>
      <c r="C248" t="s">
        <v>776</v>
      </c>
    </row>
    <row r="249" spans="1:3" x14ac:dyDescent="0.2">
      <c r="A249" t="s">
        <v>777</v>
      </c>
      <c r="B249" t="s">
        <v>778</v>
      </c>
      <c r="C249" t="s">
        <v>779</v>
      </c>
    </row>
    <row r="250" spans="1:3" x14ac:dyDescent="0.2">
      <c r="A250" t="s">
        <v>780</v>
      </c>
      <c r="B250" t="s">
        <v>781</v>
      </c>
      <c r="C250" t="s">
        <v>782</v>
      </c>
    </row>
    <row r="251" spans="1:3" x14ac:dyDescent="0.2">
      <c r="A251" t="s">
        <v>783</v>
      </c>
      <c r="B251" t="s">
        <v>784</v>
      </c>
      <c r="C251" t="s">
        <v>785</v>
      </c>
    </row>
    <row r="252" spans="1:3" x14ac:dyDescent="0.2">
      <c r="A252" t="s">
        <v>786</v>
      </c>
      <c r="B252" t="s">
        <v>787</v>
      </c>
      <c r="C252" t="s">
        <v>788</v>
      </c>
    </row>
    <row r="253" spans="1:3" x14ac:dyDescent="0.2">
      <c r="A253" t="s">
        <v>789</v>
      </c>
      <c r="B253" t="s">
        <v>790</v>
      </c>
      <c r="C253" t="s">
        <v>791</v>
      </c>
    </row>
    <row r="254" spans="1:3" x14ac:dyDescent="0.2">
      <c r="A254" t="s">
        <v>792</v>
      </c>
      <c r="B254" t="s">
        <v>793</v>
      </c>
      <c r="C254" t="s">
        <v>794</v>
      </c>
    </row>
    <row r="255" spans="1:3" x14ac:dyDescent="0.2">
      <c r="A255" t="s">
        <v>795</v>
      </c>
      <c r="B255" t="s">
        <v>796</v>
      </c>
      <c r="C255" t="s">
        <v>797</v>
      </c>
    </row>
    <row r="256" spans="1:3" x14ac:dyDescent="0.2">
      <c r="A256" t="s">
        <v>798</v>
      </c>
      <c r="B256" t="s">
        <v>799</v>
      </c>
      <c r="C256" t="s">
        <v>800</v>
      </c>
    </row>
    <row r="257" spans="1:3" x14ac:dyDescent="0.2">
      <c r="A257" t="s">
        <v>801</v>
      </c>
      <c r="B257" t="s">
        <v>802</v>
      </c>
      <c r="C257" t="s">
        <v>803</v>
      </c>
    </row>
    <row r="258" spans="1:3" x14ac:dyDescent="0.2">
      <c r="A258" t="s">
        <v>804</v>
      </c>
      <c r="B258" t="s">
        <v>805</v>
      </c>
      <c r="C258" t="s">
        <v>806</v>
      </c>
    </row>
    <row r="259" spans="1:3" x14ac:dyDescent="0.2">
      <c r="A259" t="s">
        <v>807</v>
      </c>
      <c r="B259" t="s">
        <v>808</v>
      </c>
      <c r="C259" t="s">
        <v>809</v>
      </c>
    </row>
    <row r="260" spans="1:3" x14ac:dyDescent="0.2">
      <c r="A260" t="s">
        <v>810</v>
      </c>
      <c r="B260" t="s">
        <v>811</v>
      </c>
      <c r="C260" t="s">
        <v>812</v>
      </c>
    </row>
    <row r="261" spans="1:3" x14ac:dyDescent="0.2">
      <c r="A261" t="s">
        <v>813</v>
      </c>
      <c r="B261" t="s">
        <v>814</v>
      </c>
      <c r="C261" t="s">
        <v>815</v>
      </c>
    </row>
    <row r="262" spans="1:3" x14ac:dyDescent="0.2">
      <c r="A262" t="s">
        <v>816</v>
      </c>
      <c r="B262" t="s">
        <v>817</v>
      </c>
      <c r="C262" t="s">
        <v>818</v>
      </c>
    </row>
    <row r="263" spans="1:3" x14ac:dyDescent="0.2">
      <c r="A263" t="s">
        <v>819</v>
      </c>
      <c r="B263" t="s">
        <v>820</v>
      </c>
      <c r="C263" t="s">
        <v>821</v>
      </c>
    </row>
    <row r="264" spans="1:3" x14ac:dyDescent="0.2">
      <c r="A264" t="s">
        <v>822</v>
      </c>
      <c r="B264" t="s">
        <v>823</v>
      </c>
      <c r="C264" t="s">
        <v>824</v>
      </c>
    </row>
    <row r="265" spans="1:3" x14ac:dyDescent="0.2">
      <c r="A265" t="s">
        <v>825</v>
      </c>
      <c r="B265" t="s">
        <v>826</v>
      </c>
      <c r="C265" t="s">
        <v>827</v>
      </c>
    </row>
    <row r="266" spans="1:3" x14ac:dyDescent="0.2">
      <c r="A266" t="s">
        <v>828</v>
      </c>
      <c r="B266" t="s">
        <v>829</v>
      </c>
      <c r="C266" t="s">
        <v>830</v>
      </c>
    </row>
    <row r="267" spans="1:3" x14ac:dyDescent="0.2">
      <c r="A267" t="s">
        <v>831</v>
      </c>
      <c r="B267" t="s">
        <v>832</v>
      </c>
      <c r="C267" t="s">
        <v>833</v>
      </c>
    </row>
    <row r="268" spans="1:3" x14ac:dyDescent="0.2">
      <c r="A268" t="s">
        <v>834</v>
      </c>
      <c r="B268" t="s">
        <v>835</v>
      </c>
      <c r="C268" t="s">
        <v>836</v>
      </c>
    </row>
    <row r="269" spans="1:3" x14ac:dyDescent="0.2">
      <c r="A269" t="s">
        <v>837</v>
      </c>
      <c r="B269" t="s">
        <v>838</v>
      </c>
      <c r="C269" t="s">
        <v>839</v>
      </c>
    </row>
    <row r="270" spans="1:3" x14ac:dyDescent="0.2">
      <c r="A270" t="s">
        <v>840</v>
      </c>
      <c r="B270" t="s">
        <v>841</v>
      </c>
      <c r="C270" t="s">
        <v>842</v>
      </c>
    </row>
    <row r="271" spans="1:3" x14ac:dyDescent="0.2">
      <c r="A271" t="s">
        <v>843</v>
      </c>
      <c r="B271" t="s">
        <v>844</v>
      </c>
      <c r="C271" t="s">
        <v>845</v>
      </c>
    </row>
    <row r="272" spans="1:3" x14ac:dyDescent="0.2">
      <c r="A272" t="s">
        <v>846</v>
      </c>
      <c r="B272" t="s">
        <v>847</v>
      </c>
      <c r="C272" t="s">
        <v>848</v>
      </c>
    </row>
    <row r="273" spans="1:3" x14ac:dyDescent="0.2">
      <c r="A273" t="s">
        <v>849</v>
      </c>
      <c r="B273" t="s">
        <v>850</v>
      </c>
      <c r="C273" t="s">
        <v>851</v>
      </c>
    </row>
    <row r="274" spans="1:3" x14ac:dyDescent="0.2">
      <c r="A274" t="s">
        <v>852</v>
      </c>
      <c r="B274" t="s">
        <v>853</v>
      </c>
      <c r="C274" t="s">
        <v>854</v>
      </c>
    </row>
    <row r="275" spans="1:3" x14ac:dyDescent="0.2">
      <c r="A275" t="s">
        <v>855</v>
      </c>
      <c r="B275" t="s">
        <v>856</v>
      </c>
      <c r="C275" t="s">
        <v>857</v>
      </c>
    </row>
    <row r="276" spans="1:3" x14ac:dyDescent="0.2">
      <c r="A276" t="s">
        <v>858</v>
      </c>
      <c r="B276" t="s">
        <v>859</v>
      </c>
      <c r="C276" t="s">
        <v>860</v>
      </c>
    </row>
    <row r="277" spans="1:3" x14ac:dyDescent="0.2">
      <c r="A277" t="s">
        <v>861</v>
      </c>
      <c r="B277" t="s">
        <v>862</v>
      </c>
      <c r="C277" t="s">
        <v>863</v>
      </c>
    </row>
    <row r="278" spans="1:3" x14ac:dyDescent="0.2">
      <c r="A278" t="s">
        <v>864</v>
      </c>
      <c r="B278" t="s">
        <v>865</v>
      </c>
      <c r="C278" t="s">
        <v>866</v>
      </c>
    </row>
    <row r="279" spans="1:3" x14ac:dyDescent="0.2">
      <c r="A279" t="s">
        <v>867</v>
      </c>
      <c r="B279" t="s">
        <v>868</v>
      </c>
      <c r="C279" t="s">
        <v>869</v>
      </c>
    </row>
    <row r="280" spans="1:3" x14ac:dyDescent="0.2">
      <c r="A280" t="s">
        <v>870</v>
      </c>
      <c r="B280" t="s">
        <v>871</v>
      </c>
      <c r="C280" t="s">
        <v>872</v>
      </c>
    </row>
    <row r="281" spans="1:3" x14ac:dyDescent="0.2">
      <c r="A281" t="s">
        <v>873</v>
      </c>
      <c r="B281" t="s">
        <v>874</v>
      </c>
      <c r="C281" t="s">
        <v>875</v>
      </c>
    </row>
    <row r="282" spans="1:3" x14ac:dyDescent="0.2">
      <c r="A282" t="s">
        <v>876</v>
      </c>
      <c r="B282" t="s">
        <v>877</v>
      </c>
      <c r="C282" t="s">
        <v>878</v>
      </c>
    </row>
    <row r="283" spans="1:3" x14ac:dyDescent="0.2">
      <c r="A283" t="s">
        <v>879</v>
      </c>
      <c r="B283" t="s">
        <v>880</v>
      </c>
      <c r="C283" t="s">
        <v>881</v>
      </c>
    </row>
    <row r="284" spans="1:3" x14ac:dyDescent="0.2">
      <c r="A284" t="s">
        <v>882</v>
      </c>
      <c r="B284" t="s">
        <v>883</v>
      </c>
      <c r="C284" t="s">
        <v>884</v>
      </c>
    </row>
    <row r="285" spans="1:3" x14ac:dyDescent="0.2">
      <c r="A285" t="s">
        <v>885</v>
      </c>
      <c r="B285" t="s">
        <v>886</v>
      </c>
      <c r="C285" t="s">
        <v>887</v>
      </c>
    </row>
    <row r="286" spans="1:3" x14ac:dyDescent="0.2">
      <c r="A286" t="s">
        <v>888</v>
      </c>
      <c r="B286" t="s">
        <v>889</v>
      </c>
      <c r="C286" t="s">
        <v>890</v>
      </c>
    </row>
    <row r="287" spans="1:3" x14ac:dyDescent="0.2">
      <c r="A287" t="s">
        <v>891</v>
      </c>
      <c r="B287" t="s">
        <v>892</v>
      </c>
      <c r="C287" t="s">
        <v>893</v>
      </c>
    </row>
    <row r="288" spans="1:3" x14ac:dyDescent="0.2">
      <c r="A288" t="s">
        <v>894</v>
      </c>
      <c r="B288" t="s">
        <v>895</v>
      </c>
      <c r="C288" t="s">
        <v>896</v>
      </c>
    </row>
    <row r="289" spans="1:3" x14ac:dyDescent="0.2">
      <c r="A289" t="s">
        <v>897</v>
      </c>
      <c r="B289" t="s">
        <v>898</v>
      </c>
      <c r="C289" t="s">
        <v>899</v>
      </c>
    </row>
    <row r="290" spans="1:3" x14ac:dyDescent="0.2">
      <c r="A290" t="s">
        <v>900</v>
      </c>
      <c r="B290" t="s">
        <v>901</v>
      </c>
      <c r="C290" t="s">
        <v>902</v>
      </c>
    </row>
    <row r="291" spans="1:3" x14ac:dyDescent="0.2">
      <c r="A291" t="s">
        <v>903</v>
      </c>
      <c r="B291" t="s">
        <v>904</v>
      </c>
      <c r="C291" t="s">
        <v>905</v>
      </c>
    </row>
    <row r="292" spans="1:3" x14ac:dyDescent="0.2">
      <c r="A292" t="s">
        <v>906</v>
      </c>
      <c r="B292" t="s">
        <v>907</v>
      </c>
      <c r="C292" t="s">
        <v>908</v>
      </c>
    </row>
    <row r="293" spans="1:3" x14ac:dyDescent="0.2">
      <c r="A293" t="s">
        <v>909</v>
      </c>
      <c r="B293" t="s">
        <v>910</v>
      </c>
      <c r="C293" t="s">
        <v>911</v>
      </c>
    </row>
    <row r="294" spans="1:3" x14ac:dyDescent="0.2">
      <c r="A294" t="s">
        <v>912</v>
      </c>
      <c r="B294" t="s">
        <v>913</v>
      </c>
      <c r="C294" t="s">
        <v>914</v>
      </c>
    </row>
    <row r="295" spans="1:3" x14ac:dyDescent="0.2">
      <c r="A295" t="s">
        <v>915</v>
      </c>
      <c r="B295" t="s">
        <v>916</v>
      </c>
      <c r="C295" t="s">
        <v>917</v>
      </c>
    </row>
    <row r="296" spans="1:3" x14ac:dyDescent="0.2">
      <c r="A296" t="s">
        <v>918</v>
      </c>
      <c r="B296" t="s">
        <v>919</v>
      </c>
      <c r="C296" t="s">
        <v>920</v>
      </c>
    </row>
    <row r="297" spans="1:3" x14ac:dyDescent="0.2">
      <c r="A297" t="s">
        <v>921</v>
      </c>
      <c r="B297" t="s">
        <v>922</v>
      </c>
      <c r="C297" t="s">
        <v>923</v>
      </c>
    </row>
    <row r="298" spans="1:3" x14ac:dyDescent="0.2">
      <c r="A298" t="s">
        <v>924</v>
      </c>
      <c r="B298" t="s">
        <v>925</v>
      </c>
      <c r="C298" t="s">
        <v>926</v>
      </c>
    </row>
    <row r="299" spans="1:3" x14ac:dyDescent="0.2">
      <c r="A299" t="s">
        <v>927</v>
      </c>
      <c r="B299" t="s">
        <v>928</v>
      </c>
      <c r="C299" t="s">
        <v>929</v>
      </c>
    </row>
    <row r="300" spans="1:3" x14ac:dyDescent="0.2">
      <c r="A300" t="s">
        <v>930</v>
      </c>
      <c r="B300" t="s">
        <v>931</v>
      </c>
      <c r="C300" t="s">
        <v>932</v>
      </c>
    </row>
    <row r="301" spans="1:3" x14ac:dyDescent="0.2">
      <c r="A301" t="s">
        <v>933</v>
      </c>
      <c r="B301" t="s">
        <v>934</v>
      </c>
      <c r="C301" t="s">
        <v>935</v>
      </c>
    </row>
    <row r="302" spans="1:3" x14ac:dyDescent="0.2">
      <c r="A302" t="s">
        <v>936</v>
      </c>
      <c r="B302" t="s">
        <v>937</v>
      </c>
      <c r="C302" t="s">
        <v>938</v>
      </c>
    </row>
    <row r="303" spans="1:3" x14ac:dyDescent="0.2">
      <c r="A303" t="s">
        <v>939</v>
      </c>
      <c r="B303" t="s">
        <v>940</v>
      </c>
      <c r="C303" t="s">
        <v>941</v>
      </c>
    </row>
    <row r="304" spans="1:3" x14ac:dyDescent="0.2">
      <c r="A304" t="s">
        <v>942</v>
      </c>
      <c r="B304" t="s">
        <v>943</v>
      </c>
      <c r="C304" t="s">
        <v>944</v>
      </c>
    </row>
    <row r="305" spans="1:3" x14ac:dyDescent="0.2">
      <c r="A305" t="s">
        <v>945</v>
      </c>
      <c r="B305" t="s">
        <v>946</v>
      </c>
      <c r="C305" t="s">
        <v>947</v>
      </c>
    </row>
    <row r="306" spans="1:3" x14ac:dyDescent="0.2">
      <c r="A306" t="s">
        <v>948</v>
      </c>
      <c r="B306" t="s">
        <v>949</v>
      </c>
      <c r="C306" t="s">
        <v>950</v>
      </c>
    </row>
    <row r="307" spans="1:3" x14ac:dyDescent="0.2">
      <c r="A307" t="s">
        <v>951</v>
      </c>
      <c r="B307" t="s">
        <v>952</v>
      </c>
      <c r="C307" t="s">
        <v>953</v>
      </c>
    </row>
    <row r="308" spans="1:3" x14ac:dyDescent="0.2">
      <c r="A308" t="s">
        <v>954</v>
      </c>
      <c r="B308" t="s">
        <v>955</v>
      </c>
      <c r="C308" t="s">
        <v>956</v>
      </c>
    </row>
    <row r="309" spans="1:3" x14ac:dyDescent="0.2">
      <c r="A309" t="s">
        <v>957</v>
      </c>
      <c r="B309" t="s">
        <v>958</v>
      </c>
      <c r="C309" t="s">
        <v>959</v>
      </c>
    </row>
    <row r="310" spans="1:3" x14ac:dyDescent="0.2">
      <c r="A310" t="s">
        <v>960</v>
      </c>
      <c r="B310" t="s">
        <v>961</v>
      </c>
      <c r="C310" t="s">
        <v>962</v>
      </c>
    </row>
    <row r="311" spans="1:3" x14ac:dyDescent="0.2">
      <c r="A311" t="s">
        <v>963</v>
      </c>
      <c r="B311" t="s">
        <v>964</v>
      </c>
      <c r="C311" t="s">
        <v>965</v>
      </c>
    </row>
    <row r="312" spans="1:3" x14ac:dyDescent="0.2">
      <c r="A312" t="s">
        <v>966</v>
      </c>
      <c r="B312" t="s">
        <v>967</v>
      </c>
      <c r="C312" t="s">
        <v>968</v>
      </c>
    </row>
    <row r="313" spans="1:3" x14ac:dyDescent="0.2">
      <c r="A313" t="s">
        <v>969</v>
      </c>
      <c r="B313" t="s">
        <v>970</v>
      </c>
      <c r="C313" t="s">
        <v>971</v>
      </c>
    </row>
    <row r="314" spans="1:3" x14ac:dyDescent="0.2">
      <c r="A314" t="s">
        <v>972</v>
      </c>
      <c r="B314" t="s">
        <v>973</v>
      </c>
      <c r="C314" t="s">
        <v>974</v>
      </c>
    </row>
    <row r="315" spans="1:3" x14ac:dyDescent="0.2">
      <c r="A315" t="s">
        <v>975</v>
      </c>
      <c r="B315" t="s">
        <v>976</v>
      </c>
      <c r="C315" t="s">
        <v>977</v>
      </c>
    </row>
    <row r="316" spans="1:3" x14ac:dyDescent="0.2">
      <c r="A316" t="s">
        <v>978</v>
      </c>
      <c r="B316" t="s">
        <v>979</v>
      </c>
      <c r="C316" t="s">
        <v>980</v>
      </c>
    </row>
    <row r="317" spans="1:3" x14ac:dyDescent="0.2">
      <c r="A317" t="s">
        <v>981</v>
      </c>
      <c r="B317" t="s">
        <v>982</v>
      </c>
      <c r="C317" t="s">
        <v>983</v>
      </c>
    </row>
    <row r="318" spans="1:3" x14ac:dyDescent="0.2">
      <c r="A318" t="s">
        <v>984</v>
      </c>
      <c r="B318" t="s">
        <v>985</v>
      </c>
      <c r="C318" t="s">
        <v>986</v>
      </c>
    </row>
    <row r="319" spans="1:3" x14ac:dyDescent="0.2">
      <c r="A319" t="s">
        <v>987</v>
      </c>
      <c r="B319" t="s">
        <v>988</v>
      </c>
      <c r="C319" t="s">
        <v>989</v>
      </c>
    </row>
    <row r="320" spans="1:3" x14ac:dyDescent="0.2">
      <c r="A320" t="s">
        <v>990</v>
      </c>
      <c r="B320" t="s">
        <v>991</v>
      </c>
      <c r="C320" t="s">
        <v>992</v>
      </c>
    </row>
    <row r="321" spans="1:3" x14ac:dyDescent="0.2">
      <c r="A321" t="s">
        <v>993</v>
      </c>
      <c r="B321" t="s">
        <v>994</v>
      </c>
      <c r="C321" t="s">
        <v>995</v>
      </c>
    </row>
    <row r="322" spans="1:3" x14ac:dyDescent="0.2">
      <c r="A322" t="s">
        <v>996</v>
      </c>
      <c r="B322" t="s">
        <v>997</v>
      </c>
      <c r="C322" t="s">
        <v>998</v>
      </c>
    </row>
    <row r="323" spans="1:3" x14ac:dyDescent="0.2">
      <c r="A323" t="s">
        <v>999</v>
      </c>
      <c r="B323" t="s">
        <v>1000</v>
      </c>
      <c r="C323" t="s">
        <v>1001</v>
      </c>
    </row>
    <row r="324" spans="1:3" x14ac:dyDescent="0.2">
      <c r="A324" t="s">
        <v>1002</v>
      </c>
      <c r="B324" t="s">
        <v>1003</v>
      </c>
      <c r="C324" t="s">
        <v>1004</v>
      </c>
    </row>
    <row r="325" spans="1:3" x14ac:dyDescent="0.2">
      <c r="A325" t="s">
        <v>1005</v>
      </c>
      <c r="B325" t="s">
        <v>1006</v>
      </c>
      <c r="C325" t="s">
        <v>1007</v>
      </c>
    </row>
    <row r="326" spans="1:3" x14ac:dyDescent="0.2">
      <c r="A326" t="s">
        <v>1008</v>
      </c>
      <c r="B326" t="s">
        <v>1009</v>
      </c>
      <c r="C326" t="s">
        <v>1010</v>
      </c>
    </row>
    <row r="327" spans="1:3" x14ac:dyDescent="0.2">
      <c r="A327" t="s">
        <v>1011</v>
      </c>
      <c r="B327" t="s">
        <v>1012</v>
      </c>
      <c r="C327" t="s">
        <v>1013</v>
      </c>
    </row>
    <row r="328" spans="1:3" x14ac:dyDescent="0.2">
      <c r="A328" t="s">
        <v>1014</v>
      </c>
      <c r="B328" t="s">
        <v>1015</v>
      </c>
      <c r="C328" t="s">
        <v>1016</v>
      </c>
    </row>
    <row r="329" spans="1:3" x14ac:dyDescent="0.2">
      <c r="A329" t="s">
        <v>1017</v>
      </c>
      <c r="B329" t="s">
        <v>1018</v>
      </c>
      <c r="C329" t="s">
        <v>1019</v>
      </c>
    </row>
    <row r="330" spans="1:3" x14ac:dyDescent="0.2">
      <c r="A330" t="s">
        <v>1020</v>
      </c>
      <c r="B330" t="s">
        <v>1021</v>
      </c>
      <c r="C330" t="s">
        <v>1022</v>
      </c>
    </row>
    <row r="331" spans="1:3" x14ac:dyDescent="0.2">
      <c r="A331" t="s">
        <v>1023</v>
      </c>
      <c r="B331" t="s">
        <v>1024</v>
      </c>
      <c r="C331" t="s">
        <v>1025</v>
      </c>
    </row>
    <row r="332" spans="1:3" x14ac:dyDescent="0.2">
      <c r="A332" t="s">
        <v>1026</v>
      </c>
      <c r="B332" t="s">
        <v>1027</v>
      </c>
      <c r="C332" t="s">
        <v>1028</v>
      </c>
    </row>
    <row r="333" spans="1:3" x14ac:dyDescent="0.2">
      <c r="A333" t="s">
        <v>1029</v>
      </c>
      <c r="B333" t="s">
        <v>1030</v>
      </c>
      <c r="C333" t="s">
        <v>1031</v>
      </c>
    </row>
    <row r="334" spans="1:3" x14ac:dyDescent="0.2">
      <c r="A334" t="s">
        <v>1032</v>
      </c>
      <c r="B334" t="s">
        <v>1033</v>
      </c>
      <c r="C334" t="s">
        <v>1034</v>
      </c>
    </row>
    <row r="335" spans="1:3" x14ac:dyDescent="0.2">
      <c r="A335" t="s">
        <v>1035</v>
      </c>
      <c r="B335" t="s">
        <v>1036</v>
      </c>
      <c r="C335" t="s">
        <v>1034</v>
      </c>
    </row>
    <row r="336" spans="1:3" x14ac:dyDescent="0.2">
      <c r="A336" t="s">
        <v>1037</v>
      </c>
      <c r="B336" t="s">
        <v>1038</v>
      </c>
      <c r="C336" t="s">
        <v>1039</v>
      </c>
    </row>
    <row r="337" spans="1:3" x14ac:dyDescent="0.2">
      <c r="A337" t="s">
        <v>1040</v>
      </c>
      <c r="B337" t="s">
        <v>1041</v>
      </c>
      <c r="C337" t="s">
        <v>1042</v>
      </c>
    </row>
    <row r="338" spans="1:3" x14ac:dyDescent="0.2">
      <c r="A338" t="s">
        <v>1043</v>
      </c>
      <c r="B338" t="s">
        <v>1044</v>
      </c>
      <c r="C338" t="s">
        <v>1045</v>
      </c>
    </row>
    <row r="339" spans="1:3" x14ac:dyDescent="0.2">
      <c r="A339" t="s">
        <v>1046</v>
      </c>
      <c r="B339" t="s">
        <v>1047</v>
      </c>
      <c r="C339" t="s">
        <v>1048</v>
      </c>
    </row>
    <row r="340" spans="1:3" x14ac:dyDescent="0.2">
      <c r="A340" t="s">
        <v>1049</v>
      </c>
      <c r="B340" t="s">
        <v>1050</v>
      </c>
      <c r="C340" t="s">
        <v>1051</v>
      </c>
    </row>
    <row r="341" spans="1:3" x14ac:dyDescent="0.2">
      <c r="A341" t="s">
        <v>1052</v>
      </c>
      <c r="B341" t="s">
        <v>1053</v>
      </c>
      <c r="C341" t="s">
        <v>1054</v>
      </c>
    </row>
    <row r="342" spans="1:3" x14ac:dyDescent="0.2">
      <c r="A342" t="s">
        <v>1055</v>
      </c>
      <c r="B342" t="s">
        <v>1056</v>
      </c>
      <c r="C342" t="s">
        <v>1057</v>
      </c>
    </row>
    <row r="343" spans="1:3" x14ac:dyDescent="0.2">
      <c r="A343" t="s">
        <v>1058</v>
      </c>
      <c r="B343" t="s">
        <v>1059</v>
      </c>
      <c r="C343" t="s">
        <v>1060</v>
      </c>
    </row>
    <row r="344" spans="1:3" x14ac:dyDescent="0.2">
      <c r="A344" t="s">
        <v>1061</v>
      </c>
      <c r="B344" t="s">
        <v>1062</v>
      </c>
      <c r="C344" t="s">
        <v>1060</v>
      </c>
    </row>
    <row r="345" spans="1:3" x14ac:dyDescent="0.2">
      <c r="A345" t="s">
        <v>1063</v>
      </c>
      <c r="B345" t="s">
        <v>1064</v>
      </c>
      <c r="C345" t="s">
        <v>1065</v>
      </c>
    </row>
    <row r="346" spans="1:3" x14ac:dyDescent="0.2">
      <c r="A346" t="s">
        <v>1066</v>
      </c>
      <c r="B346" t="s">
        <v>1067</v>
      </c>
      <c r="C346" t="s">
        <v>1068</v>
      </c>
    </row>
    <row r="347" spans="1:3" x14ac:dyDescent="0.2">
      <c r="A347" t="s">
        <v>1069</v>
      </c>
      <c r="B347" t="s">
        <v>1070</v>
      </c>
      <c r="C347" t="s">
        <v>1071</v>
      </c>
    </row>
    <row r="348" spans="1:3" x14ac:dyDescent="0.2">
      <c r="A348" t="s">
        <v>1072</v>
      </c>
      <c r="B348" t="s">
        <v>1073</v>
      </c>
      <c r="C348" t="s">
        <v>1074</v>
      </c>
    </row>
    <row r="349" spans="1:3" x14ac:dyDescent="0.2">
      <c r="A349" t="s">
        <v>1075</v>
      </c>
      <c r="B349" t="s">
        <v>1076</v>
      </c>
      <c r="C349" t="s">
        <v>1077</v>
      </c>
    </row>
    <row r="350" spans="1:3" x14ac:dyDescent="0.2">
      <c r="A350" t="s">
        <v>1078</v>
      </c>
      <c r="B350" t="s">
        <v>1079</v>
      </c>
      <c r="C350" t="s">
        <v>1080</v>
      </c>
    </row>
    <row r="351" spans="1:3" x14ac:dyDescent="0.2">
      <c r="A351" t="s">
        <v>1081</v>
      </c>
      <c r="B351" t="s">
        <v>1082</v>
      </c>
      <c r="C351" t="s">
        <v>1083</v>
      </c>
    </row>
    <row r="352" spans="1:3" x14ac:dyDescent="0.2">
      <c r="A352" t="s">
        <v>1084</v>
      </c>
      <c r="B352" t="s">
        <v>1085</v>
      </c>
      <c r="C352" t="s">
        <v>1086</v>
      </c>
    </row>
    <row r="353" spans="1:3" x14ac:dyDescent="0.2">
      <c r="A353" t="s">
        <v>1087</v>
      </c>
      <c r="B353" t="s">
        <v>1088</v>
      </c>
      <c r="C353" t="s">
        <v>1089</v>
      </c>
    </row>
    <row r="354" spans="1:3" x14ac:dyDescent="0.2">
      <c r="A354" t="s">
        <v>1090</v>
      </c>
      <c r="B354" t="s">
        <v>1091</v>
      </c>
      <c r="C354" t="s">
        <v>1092</v>
      </c>
    </row>
    <row r="355" spans="1:3" x14ac:dyDescent="0.2">
      <c r="A355" t="s">
        <v>1093</v>
      </c>
      <c r="B355" t="s">
        <v>1094</v>
      </c>
      <c r="C355" t="s">
        <v>1095</v>
      </c>
    </row>
    <row r="356" spans="1:3" x14ac:dyDescent="0.2">
      <c r="A356" t="s">
        <v>1096</v>
      </c>
      <c r="B356" t="s">
        <v>1097</v>
      </c>
      <c r="C356" t="s">
        <v>1098</v>
      </c>
    </row>
    <row r="357" spans="1:3" x14ac:dyDescent="0.2">
      <c r="A357" t="s">
        <v>1099</v>
      </c>
      <c r="B357" t="s">
        <v>1100</v>
      </c>
      <c r="C357" t="s">
        <v>1101</v>
      </c>
    </row>
    <row r="358" spans="1:3" x14ac:dyDescent="0.2">
      <c r="A358" t="s">
        <v>1102</v>
      </c>
      <c r="B358" t="s">
        <v>1103</v>
      </c>
      <c r="C358" t="s">
        <v>1104</v>
      </c>
    </row>
    <row r="359" spans="1:3" x14ac:dyDescent="0.2">
      <c r="A359" t="s">
        <v>1105</v>
      </c>
      <c r="B359" t="s">
        <v>1106</v>
      </c>
      <c r="C359" t="s">
        <v>1107</v>
      </c>
    </row>
    <row r="360" spans="1:3" x14ac:dyDescent="0.2">
      <c r="A360" t="s">
        <v>1108</v>
      </c>
      <c r="B360" t="s">
        <v>1109</v>
      </c>
      <c r="C360" t="s">
        <v>1110</v>
      </c>
    </row>
    <row r="361" spans="1:3" x14ac:dyDescent="0.2">
      <c r="A361" t="s">
        <v>1111</v>
      </c>
      <c r="B361" t="s">
        <v>1112</v>
      </c>
      <c r="C361" t="s">
        <v>1113</v>
      </c>
    </row>
    <row r="362" spans="1:3" x14ac:dyDescent="0.2">
      <c r="A362" t="s">
        <v>1114</v>
      </c>
      <c r="B362" t="s">
        <v>1115</v>
      </c>
      <c r="C362" t="s">
        <v>1116</v>
      </c>
    </row>
    <row r="363" spans="1:3" x14ac:dyDescent="0.2">
      <c r="A363" t="s">
        <v>1117</v>
      </c>
      <c r="B363" t="s">
        <v>1118</v>
      </c>
      <c r="C363" t="s">
        <v>1119</v>
      </c>
    </row>
    <row r="364" spans="1:3" x14ac:dyDescent="0.2">
      <c r="A364" t="s">
        <v>1120</v>
      </c>
      <c r="B364" t="s">
        <v>1121</v>
      </c>
      <c r="C364" t="s">
        <v>1122</v>
      </c>
    </row>
    <row r="365" spans="1:3" x14ac:dyDescent="0.2">
      <c r="A365" t="s">
        <v>1123</v>
      </c>
      <c r="B365" t="s">
        <v>1124</v>
      </c>
      <c r="C365" t="s">
        <v>1125</v>
      </c>
    </row>
    <row r="366" spans="1:3" x14ac:dyDescent="0.2">
      <c r="A366" t="s">
        <v>1126</v>
      </c>
      <c r="B366" t="s">
        <v>1127</v>
      </c>
      <c r="C366" t="s">
        <v>1128</v>
      </c>
    </row>
    <row r="367" spans="1:3" x14ac:dyDescent="0.2">
      <c r="A367" t="s">
        <v>1129</v>
      </c>
      <c r="B367" t="s">
        <v>1130</v>
      </c>
      <c r="C367" t="s">
        <v>1131</v>
      </c>
    </row>
    <row r="368" spans="1:3" x14ac:dyDescent="0.2">
      <c r="A368" t="s">
        <v>1132</v>
      </c>
      <c r="B368" t="s">
        <v>1133</v>
      </c>
      <c r="C368" t="s">
        <v>1134</v>
      </c>
    </row>
    <row r="369" spans="1:3" x14ac:dyDescent="0.2">
      <c r="A369" t="s">
        <v>1135</v>
      </c>
      <c r="B369" t="s">
        <v>1136</v>
      </c>
      <c r="C369" t="s">
        <v>1137</v>
      </c>
    </row>
    <row r="370" spans="1:3" x14ac:dyDescent="0.2">
      <c r="A370" t="s">
        <v>1138</v>
      </c>
      <c r="B370" t="s">
        <v>1139</v>
      </c>
      <c r="C370" t="s">
        <v>1140</v>
      </c>
    </row>
    <row r="371" spans="1:3" x14ac:dyDescent="0.2">
      <c r="A371" t="s">
        <v>1141</v>
      </c>
      <c r="B371" t="s">
        <v>1142</v>
      </c>
      <c r="C371" t="s">
        <v>1143</v>
      </c>
    </row>
    <row r="372" spans="1:3" x14ac:dyDescent="0.2">
      <c r="A372" t="s">
        <v>1144</v>
      </c>
      <c r="B372" t="s">
        <v>1145</v>
      </c>
      <c r="C372" t="s">
        <v>1146</v>
      </c>
    </row>
    <row r="373" spans="1:3" x14ac:dyDescent="0.2">
      <c r="A373" t="s">
        <v>1147</v>
      </c>
      <c r="B373" t="s">
        <v>1148</v>
      </c>
      <c r="C373" t="s">
        <v>1149</v>
      </c>
    </row>
    <row r="374" spans="1:3" x14ac:dyDescent="0.2">
      <c r="A374" t="s">
        <v>1150</v>
      </c>
      <c r="B374" t="s">
        <v>1151</v>
      </c>
      <c r="C374" t="s">
        <v>1152</v>
      </c>
    </row>
    <row r="375" spans="1:3" x14ac:dyDescent="0.2">
      <c r="A375" t="s">
        <v>1153</v>
      </c>
      <c r="B375" t="s">
        <v>1154</v>
      </c>
      <c r="C375" t="s">
        <v>1155</v>
      </c>
    </row>
    <row r="376" spans="1:3" x14ac:dyDescent="0.2">
      <c r="A376" t="s">
        <v>1156</v>
      </c>
      <c r="B376" t="s">
        <v>1157</v>
      </c>
      <c r="C376" t="s">
        <v>1158</v>
      </c>
    </row>
    <row r="377" spans="1:3" x14ac:dyDescent="0.2">
      <c r="A377" t="s">
        <v>1159</v>
      </c>
      <c r="B377" t="s">
        <v>1160</v>
      </c>
    </row>
    <row r="378" spans="1:3" x14ac:dyDescent="0.2">
      <c r="A378" t="s">
        <v>1161</v>
      </c>
      <c r="B378" t="s">
        <v>1162</v>
      </c>
    </row>
    <row r="379" spans="1:3" x14ac:dyDescent="0.2">
      <c r="A379" t="s">
        <v>1163</v>
      </c>
      <c r="B379" t="s">
        <v>1164</v>
      </c>
    </row>
    <row r="380" spans="1:3" x14ac:dyDescent="0.2">
      <c r="A380" t="s">
        <v>1165</v>
      </c>
      <c r="B380" t="s">
        <v>1166</v>
      </c>
    </row>
    <row r="381" spans="1:3" x14ac:dyDescent="0.2">
      <c r="A381" t="s">
        <v>1167</v>
      </c>
      <c r="B381" t="s">
        <v>1168</v>
      </c>
    </row>
    <row r="382" spans="1:3" x14ac:dyDescent="0.2">
      <c r="A382" t="s">
        <v>1169</v>
      </c>
      <c r="B382" t="s">
        <v>1170</v>
      </c>
    </row>
    <row r="383" spans="1:3" x14ac:dyDescent="0.2">
      <c r="A383" t="s">
        <v>1171</v>
      </c>
      <c r="B383" t="s">
        <v>1172</v>
      </c>
    </row>
    <row r="384" spans="1:3" x14ac:dyDescent="0.2">
      <c r="A384" t="s">
        <v>1173</v>
      </c>
      <c r="B384" t="s">
        <v>1174</v>
      </c>
    </row>
    <row r="385" spans="1:2" x14ac:dyDescent="0.2">
      <c r="A385" t="s">
        <v>1175</v>
      </c>
      <c r="B385" t="s">
        <v>1176</v>
      </c>
    </row>
    <row r="386" spans="1:2" x14ac:dyDescent="0.2">
      <c r="A386" t="s">
        <v>1177</v>
      </c>
      <c r="B386" t="s">
        <v>1178</v>
      </c>
    </row>
    <row r="387" spans="1:2" x14ac:dyDescent="0.2">
      <c r="A387" t="s">
        <v>1179</v>
      </c>
      <c r="B387" t="s">
        <v>1180</v>
      </c>
    </row>
    <row r="388" spans="1:2" x14ac:dyDescent="0.2">
      <c r="A388" t="s">
        <v>1181</v>
      </c>
      <c r="B388" t="s">
        <v>1182</v>
      </c>
    </row>
    <row r="389" spans="1:2" x14ac:dyDescent="0.2">
      <c r="A389" t="s">
        <v>1183</v>
      </c>
      <c r="B389" t="s">
        <v>1184</v>
      </c>
    </row>
    <row r="390" spans="1:2" x14ac:dyDescent="0.2">
      <c r="A390" t="s">
        <v>1185</v>
      </c>
      <c r="B390" t="s">
        <v>1186</v>
      </c>
    </row>
    <row r="391" spans="1:2" x14ac:dyDescent="0.2">
      <c r="A391" t="s">
        <v>1187</v>
      </c>
      <c r="B391" t="s">
        <v>1188</v>
      </c>
    </row>
    <row r="392" spans="1:2" x14ac:dyDescent="0.2">
      <c r="A392" t="s">
        <v>1189</v>
      </c>
      <c r="B392" t="s">
        <v>1190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e7f2dcd-0c2b-4478-ad05-247cf739c5b2">
      <Terms xmlns="http://schemas.microsoft.com/office/infopath/2007/PartnerControls"/>
    </lcf76f155ced4ddcb4097134ff3c332f>
    <TaxCatchAll xmlns="7c6541c9-858d-46cc-aee4-1fa681dc1bd6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D8216A3BCF59A4CAC1EDC9B65F03F94" ma:contentTypeVersion="15" ma:contentTypeDescription="Create a new document." ma:contentTypeScope="" ma:versionID="7a5dd83b0615c7ab65f6e497dc3f1a67">
  <xsd:schema xmlns:xsd="http://www.w3.org/2001/XMLSchema" xmlns:xs="http://www.w3.org/2001/XMLSchema" xmlns:p="http://schemas.microsoft.com/office/2006/metadata/properties" xmlns:ns2="7e7f2dcd-0c2b-4478-ad05-247cf739c5b2" xmlns:ns3="7c6541c9-858d-46cc-aee4-1fa681dc1bd6" targetNamespace="http://schemas.microsoft.com/office/2006/metadata/properties" ma:root="true" ma:fieldsID="8b3083ab368e81f90f854d4b93d60013" ns2:_="" ns3:_="">
    <xsd:import namespace="7e7f2dcd-0c2b-4478-ad05-247cf739c5b2"/>
    <xsd:import namespace="7c6541c9-858d-46cc-aee4-1fa681dc1bd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7f2dcd-0c2b-4478-ad05-247cf739c5b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1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5bd66242-e0b1-4d5e-a424-ed2be647a71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6541c9-858d-46cc-aee4-1fa681dc1bd6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5de6d577-5e06-4df3-9e53-a11405c55b7c}" ma:internalName="TaxCatchAll" ma:showField="CatchAllData" ma:web="7c6541c9-858d-46cc-aee4-1fa681dc1bd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46BF634-EA13-45F5-ABB2-30DA96DC4F75}">
  <ds:schemaRefs>
    <ds:schemaRef ds:uri="7c6541c9-858d-46cc-aee4-1fa681dc1bd6"/>
    <ds:schemaRef ds:uri="http://schemas.microsoft.com/office/2006/metadata/properties"/>
    <ds:schemaRef ds:uri="http://purl.org/dc/elements/1.1/"/>
    <ds:schemaRef ds:uri="7e7f2dcd-0c2b-4478-ad05-247cf739c5b2"/>
    <ds:schemaRef ds:uri="http://www.w3.org/XML/1998/namespace"/>
    <ds:schemaRef ds:uri="http://purl.org/dc/terms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84980B69-457F-4EB5-8ED9-44685095547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9A83218-6243-4332-87CD-F4C2045DC54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e7f2dcd-0c2b-4478-ad05-247cf739c5b2"/>
    <ds:schemaRef ds:uri="7c6541c9-858d-46cc-aee4-1fa681dc1bd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Dashboard</vt:lpstr>
      <vt:lpstr>Input</vt:lpstr>
      <vt:lpstr>Lists</vt:lpstr>
      <vt:lpstr>Gas_verbruik</vt:lpstr>
      <vt:lpstr>KWh_verbruik</vt:lpstr>
      <vt:lpstr>Water_verbruik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Aljereau Marten</cp:lastModifiedBy>
  <dcterms:created xsi:type="dcterms:W3CDTF">2025-12-09T10:18:08Z</dcterms:created>
  <dcterms:modified xsi:type="dcterms:W3CDTF">2025-12-09T16:25:20Z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0x010100FD8216A3BCF59A4CAC1EDC9B65F03F94</vt:lpwstr>
  </property>
  <property fmtid="{D5CDD505-2E9C-101B-9397-08002B2CF9AE}" pid="3" name="MediaServiceImageTags">
    <vt:lpwstr/>
  </property>
</Properties>
</file>