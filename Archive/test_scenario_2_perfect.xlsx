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emeen" sheetId="1" state="visible" r:id="rId1"/>
    <sheet name="GWE_Detail" sheetId="2" state="visible" r:id="rId2"/>
    <sheet name="Schoonmaak" sheetId="3" state="visible" r:id="rId3"/>
    <sheet name="Schade" sheetId="4" state="visible" r:id="rId4"/>
  </sheets>
  <definedNames>
    <definedName name="Klantnaam">Algemeen!$B$4</definedName>
    <definedName name="Contactpersoon">Algemeen!$B$5</definedName>
    <definedName name="Email">Algemeen!$B$6</definedName>
    <definedName name="Telefoonnummer">Algemeen!$B$7</definedName>
    <definedName name="Object_adres">Algemeen!$B$10</definedName>
    <definedName name="Unit_nr">Algemeen!$B$11</definedName>
    <definedName name="Postcode">Algemeen!$B$12</definedName>
    <definedName name="Plaats">Algemeen!$B$13</definedName>
    <definedName name="Object_ID">Algemeen!$B$14</definedName>
    <definedName name="Incheck_datum">Algemeen!$B$17</definedName>
    <definedName name="Uitcheck_datum">Algemeen!$B$18</definedName>
    <definedName name="Aantal_dagen">Algemeen!$B$19</definedName>
    <definedName name="Voorschot_borg">Algemeen!$B$22</definedName>
    <definedName name="Voorschot_GWE">Algemeen!$B$23</definedName>
    <definedName name="Overige_voorschotten">Algemeen!$B$25</definedName>
    <definedName name="Schoonmaak_pakket_type">Algemeen!$B$28</definedName>
    <definedName name="Voorschot_schoonmaak">Algemeen!$B$29</definedName>
    <definedName name="Inbegrepen_uren">Algemeen!$B$30</definedName>
    <definedName name="Uurtarief_schoonmaak">Algemeen!$B$31</definedName>
    <definedName name="Meterbeheerder">Algemeen!$B$32</definedName>
    <definedName name="Energie_leverancier">Algemeen!$B$33</definedName>
    <definedName name="Contractnummer">Algemeen!$B$34</definedName>
    <definedName name="RR_Klantnummer">Algemeen!$B$37</definedName>
    <definedName name="RR_Folder_link">Algemeen!$B$38</definedName>
    <definedName name="RR_Projectleider">Algemeen!$B$39</definedName>
    <definedName name="RR_Inspecteur">Algemeen!$B$40</definedName>
    <definedName name="RR_Factuurnummer">Algemeen!$B$41</definedName>
    <definedName name="Borg_gebruikt">Algemeen!$B$44</definedName>
    <definedName name="Borg_terug">Algemeen!$B$45</definedName>
    <definedName name="Restschade">Algemeen!$B$46</definedName>
    <definedName name="GWE_meer_minder">Algemeen!$B$47</definedName>
    <definedName name="Totaal_eindafrekening">Algemeen!$B$48</definedName>
    <definedName name="KWh_begin">GWE_Detail!$B$4</definedName>
    <definedName name="KWh_eind">GWE_Detail!$B$5</definedName>
    <definedName name="KWh_verbruik">GWE_Detail!$B$6</definedName>
    <definedName name="Gas_begin">GWE_Detail!$B$7</definedName>
    <definedName name="Gas_eind">GWE_Detail!$B$8</definedName>
    <definedName name="Gas_verbruik">GWE_Detail!$B$9</definedName>
    <definedName name="GWE_totaal_excl">GWE_Detail!$B$36</definedName>
    <definedName name="GWE_BTW">GWE_Detail!$B$37</definedName>
    <definedName name="GWE_totaal_incl">GWE_Detail!$B$38</definedName>
    <definedName name="Totaal_uren_gew">Schoonmaak!$B$6</definedName>
    <definedName name="Extra_uren">Schoonmaak!$B$7</definedName>
    <definedName name="Extra_schoonmaak_bedrag">Schoonmaak!$B$9</definedName>
    <definedName name="Schade_totaal_excl">Schade!$B$58</definedName>
    <definedName name="Schade_BTW">Schade!$B$59</definedName>
    <definedName name="Schade_totaal_incl">Schade!$B$60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€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i val="1"/>
      <color rgb="00C0504D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0"/>
    </font>
    <font>
      <i val="1"/>
      <color rgb="00666666"/>
    </font>
    <font>
      <name val="Arial"/>
      <i val="1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0504D"/>
        <bgColor rgb="00C0504D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3" borderId="1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1" fontId="0" fillId="5" borderId="1" pivotButton="0" quotePrefix="0" xfId="0"/>
    <xf numFmtId="165" fontId="0" fillId="4" borderId="1" applyProtection="1" pivotButton="0" quotePrefix="0" xfId="0">
      <protection locked="0" hidden="0"/>
    </xf>
    <xf numFmtId="165" fontId="0" fillId="0" borderId="1" pivotButton="0" quotePrefix="0" xfId="0"/>
    <xf numFmtId="165" fontId="0" fillId="5" borderId="1" pivotButton="0" quotePrefix="0" xfId="0"/>
    <xf numFmtId="0" fontId="2" fillId="6" borderId="1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165" fontId="5" fillId="5" borderId="2" pivotButton="0" quotePrefix="0" xfId="0"/>
    <xf numFmtId="0" fontId="1" fillId="7" borderId="1" applyAlignment="1" applyProtection="1" pivotButton="0" quotePrefix="0" xfId="0">
      <alignment horizontal="center" vertical="center"/>
      <protection locked="0" hidden="0"/>
    </xf>
    <xf numFmtId="0" fontId="2" fillId="8" borderId="1" applyProtection="1" pivotButton="0" quotePrefix="0" xfId="0">
      <protection locked="0" hidden="0"/>
    </xf>
    <xf numFmtId="3" fontId="0" fillId="4" borderId="1" applyProtection="1" pivotButton="0" quotePrefix="0" xfId="0">
      <protection locked="0" hidden="0"/>
    </xf>
    <xf numFmtId="3" fontId="0" fillId="5" borderId="1" pivotButton="0" quotePrefix="0" xfId="0"/>
    <xf numFmtId="4" fontId="0" fillId="4" borderId="1" applyProtection="1" pivotButton="0" quotePrefix="0" xfId="0">
      <protection locked="0" hidden="0"/>
    </xf>
    <xf numFmtId="4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8" fillId="9" borderId="1" applyProtection="1" pivotButton="0" quotePrefix="0" xfId="0">
      <protection locked="0" hidden="0"/>
    </xf>
    <xf numFmtId="4" fontId="8" fillId="9" borderId="1" pivotButton="0" quotePrefix="0" xfId="0"/>
    <xf numFmtId="165" fontId="8" fillId="9" borderId="1" pivotButton="0" quotePrefix="0" xfId="0"/>
    <xf numFmtId="4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165" fontId="9" fillId="5" borderId="2" pivotButton="0" quotePrefix="0" xfId="0"/>
    <xf numFmtId="0" fontId="1" fillId="10" borderId="1" applyAlignment="1" pivotButton="0" quotePrefix="0" xfId="0">
      <alignment horizontal="center" vertical="center"/>
    </xf>
    <xf numFmtId="0" fontId="2" fillId="11" borderId="1" pivotButton="0" quotePrefix="0" xfId="0"/>
    <xf numFmtId="0" fontId="3" fillId="0" borderId="0" pivotButton="0" quotePrefix="0" xfId="0"/>
    <xf numFmtId="0" fontId="10" fillId="4" borderId="1" pivotButton="0" quotePrefix="0" xfId="0"/>
    <xf numFmtId="2" fontId="0" fillId="4" borderId="1" applyProtection="1" pivotButton="0" quotePrefix="0" xfId="0">
      <protection locked="0" hidden="0"/>
    </xf>
    <xf numFmtId="2" fontId="0" fillId="5" borderId="1" pivotButton="0" quotePrefix="0" xfId="0"/>
    <xf numFmtId="165" fontId="10" fillId="4" borderId="1" pivotButton="0" quotePrefix="0" xfId="0"/>
    <xf numFmtId="0" fontId="9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" fontId="0" fillId="0" borderId="1" applyProtection="1" pivotButton="0" quotePrefix="0" xfId="0">
      <protection locked="0" hidden="0"/>
    </xf>
    <xf numFmtId="0" fontId="2" fillId="6" borderId="1" pivotButton="0" quotePrefix="0" xfId="0"/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RYANRENT EINDAFREKENING - BASISGEGEVENS</t>
        </is>
      </c>
      <c r="B1" s="44" t="n"/>
      <c r="C1" s="2" t="n"/>
    </row>
    <row r="2">
      <c r="A2" s="2" t="n"/>
      <c r="B2" s="2" t="n"/>
      <c r="C2" s="2" t="n"/>
    </row>
    <row r="3">
      <c r="A3" s="3" t="inlineStr">
        <is>
          <t>KLANTGEGEVENS</t>
        </is>
      </c>
      <c r="B3" s="44" t="n"/>
      <c r="C3" s="2" t="n"/>
    </row>
    <row r="4">
      <c r="A4" s="4" t="inlineStr">
        <is>
          <t>Naam Klant *</t>
        </is>
      </c>
      <c r="B4" s="5" t="inlineStr">
        <is>
          <t>Familie Jansen</t>
        </is>
      </c>
      <c r="C4" s="2" t="n"/>
    </row>
    <row r="5">
      <c r="A5" s="4" t="inlineStr">
        <is>
          <t>Contactpersoon</t>
        </is>
      </c>
      <c r="B5" s="6" t="n"/>
      <c r="C5" s="2" t="n"/>
    </row>
    <row r="6">
      <c r="A6" s="4" t="inlineStr">
        <is>
          <t>Email *</t>
        </is>
      </c>
      <c r="B6" s="5" t="inlineStr">
        <is>
          <t>p.jansen@email.nl</t>
        </is>
      </c>
      <c r="C6" s="2" t="n"/>
    </row>
    <row r="7">
      <c r="A7" s="4" t="inlineStr">
        <is>
          <t>Telefoonnummer</t>
        </is>
      </c>
      <c r="B7" s="6" t="inlineStr">
        <is>
          <t>06-98765432</t>
        </is>
      </c>
      <c r="C7" s="2" t="n"/>
    </row>
    <row r="8">
      <c r="A8" s="2" t="n"/>
      <c r="B8" s="2" t="n"/>
      <c r="C8" s="2" t="n"/>
    </row>
    <row r="9">
      <c r="A9" s="3" t="inlineStr">
        <is>
          <t>OBJECTGEGEVENS</t>
        </is>
      </c>
      <c r="B9" s="44" t="n"/>
      <c r="C9" s="2" t="n"/>
    </row>
    <row r="10">
      <c r="A10" s="4" t="inlineStr">
        <is>
          <t>Adres Object *</t>
        </is>
      </c>
      <c r="B10" s="5" t="inlineStr">
        <is>
          <t>Strandweg 18, 2225XY Den Haag</t>
        </is>
      </c>
      <c r="C10" s="2" t="n"/>
    </row>
    <row r="11">
      <c r="A11" s="4" t="inlineStr">
        <is>
          <t>Unit Nummer</t>
        </is>
      </c>
      <c r="B11" s="6" t="n"/>
      <c r="C11" s="2" t="n"/>
    </row>
    <row r="12">
      <c r="A12" s="4" t="inlineStr">
        <is>
          <t>Postcode</t>
        </is>
      </c>
      <c r="B12" s="6" t="n"/>
      <c r="C12" s="2" t="n"/>
    </row>
    <row r="13">
      <c r="A13" s="4" t="inlineStr">
        <is>
          <t>Plaats</t>
        </is>
      </c>
      <c r="B13" s="6" t="n"/>
      <c r="C13" s="2" t="n"/>
    </row>
    <row r="14">
      <c r="A14" s="4" t="inlineStr">
        <is>
          <t>Object ID</t>
        </is>
      </c>
      <c r="B14" s="6" t="n"/>
      <c r="C14" s="2" t="n"/>
    </row>
    <row r="15">
      <c r="A15" s="2" t="n"/>
      <c r="B15" s="2" t="n"/>
      <c r="C15" s="2" t="n"/>
    </row>
    <row r="16">
      <c r="A16" s="3" t="inlineStr">
        <is>
          <t>VERBLIJFSPERIODE</t>
        </is>
      </c>
      <c r="B16" s="44" t="n"/>
      <c r="C16" s="2" t="n"/>
    </row>
    <row r="17">
      <c r="A17" s="4" t="inlineStr">
        <is>
          <t>Incheck Datum *</t>
        </is>
      </c>
      <c r="B17" s="7" t="n">
        <v>45870</v>
      </c>
      <c r="C17" s="2" t="n"/>
    </row>
    <row r="18">
      <c r="A18" s="4" t="inlineStr">
        <is>
          <t>Uitcheck Datum *</t>
        </is>
      </c>
      <c r="B18" s="7" t="n">
        <v>45880</v>
      </c>
      <c r="C18" s="2" t="n"/>
    </row>
    <row r="19">
      <c r="A19" s="4" t="inlineStr">
        <is>
          <t>Aantal Dagen (automatisch)</t>
        </is>
      </c>
      <c r="B19" s="8">
        <f>IF(AND(B17&lt;&gt;"",B18&lt;&gt;""),B18-B17,"")</f>
        <v/>
      </c>
      <c r="C19" s="2" t="n"/>
    </row>
    <row r="20">
      <c r="A20" s="2" t="n"/>
      <c r="B20" s="2" t="n"/>
      <c r="C20" s="2" t="n"/>
    </row>
    <row r="21">
      <c r="A21" s="3" t="inlineStr">
        <is>
          <t>VOORSCHOTTEN</t>
        </is>
      </c>
      <c r="B21" s="44" t="n"/>
      <c r="C21" s="2" t="n"/>
    </row>
    <row r="22">
      <c r="A22" s="4" t="inlineStr">
        <is>
          <t>Voorschot Borg *</t>
        </is>
      </c>
      <c r="B22" s="9" t="n">
        <v>500</v>
      </c>
      <c r="C22" s="2" t="n"/>
    </row>
    <row r="23">
      <c r="A23" s="4" t="inlineStr">
        <is>
          <t>Voorschot GWE *</t>
        </is>
      </c>
      <c r="B23" s="9" t="n">
        <v>300</v>
      </c>
      <c r="C23" s="2" t="n"/>
    </row>
    <row r="24">
      <c r="A24" s="2" t="n"/>
      <c r="B24" s="2" t="n"/>
      <c r="C24" s="2" t="n"/>
    </row>
    <row r="25">
      <c r="A25" s="4" t="inlineStr">
        <is>
          <t>Overige Voorschotten</t>
        </is>
      </c>
      <c r="B25" s="10" t="n">
        <v>0</v>
      </c>
      <c r="C25" s="2" t="n"/>
    </row>
    <row r="26">
      <c r="A26" s="2" t="n"/>
      <c r="B26" s="2" t="n"/>
      <c r="C26" s="2" t="n"/>
    </row>
    <row r="27">
      <c r="A27" s="3" t="inlineStr">
        <is>
          <t>CONTRACTGEGEVENS</t>
        </is>
      </c>
      <c r="B27" s="44" t="n"/>
      <c r="C27" s="2" t="n"/>
    </row>
    <row r="28">
      <c r="A28" s="4" t="inlineStr">
        <is>
          <t>Schoonmaak Pakket *</t>
        </is>
      </c>
      <c r="B28" s="5" t="inlineStr">
        <is>
          <t>Basis Schoonmaak</t>
        </is>
      </c>
      <c r="C28" s="2" t="n"/>
    </row>
    <row r="29">
      <c r="A29" s="4" t="inlineStr">
        <is>
          <t>Voorschot Schoonmaak (automatisch)</t>
        </is>
      </c>
      <c r="B29" s="11" t="n">
        <v>250</v>
      </c>
      <c r="C29" s="2" t="n"/>
    </row>
    <row r="30">
      <c r="A30" s="4" t="inlineStr">
        <is>
          <t>Inbegrepen Uren (automatisch)</t>
        </is>
      </c>
      <c r="B30" s="8" t="n">
        <v>5</v>
      </c>
      <c r="C30" s="2" t="n"/>
    </row>
    <row r="31">
      <c r="A31" s="4" t="inlineStr">
        <is>
          <t>Uurtarief Schoonmaak *</t>
        </is>
      </c>
      <c r="B31" s="9" t="n">
        <v>50</v>
      </c>
      <c r="C31" s="2" t="n"/>
    </row>
    <row r="32">
      <c r="A32" s="4" t="inlineStr">
        <is>
          <t>Meterbeheerder</t>
        </is>
      </c>
      <c r="B32" s="6" t="n"/>
      <c r="C32" s="2" t="n"/>
    </row>
    <row r="33">
      <c r="A33" s="4" t="inlineStr">
        <is>
          <t>Energie Leverancier</t>
        </is>
      </c>
      <c r="B33" s="6" t="n"/>
      <c r="C33" s="2" t="n"/>
    </row>
    <row r="34">
      <c r="A34" s="4" t="inlineStr">
        <is>
          <t>Contractnummer</t>
        </is>
      </c>
      <c r="B34" s="6" t="n"/>
      <c r="C34" s="2" t="n"/>
    </row>
    <row r="35">
      <c r="A35" s="2" t="n"/>
      <c r="B35" s="2" t="n"/>
      <c r="C35" s="2" t="n"/>
    </row>
    <row r="36">
      <c r="A36" s="3" t="inlineStr">
        <is>
          <t>INTERNE RYANRENT GEGEVENS</t>
        </is>
      </c>
      <c r="B36" s="44" t="n"/>
      <c r="C36" s="2" t="n"/>
    </row>
    <row r="37">
      <c r="A37" s="4" t="inlineStr">
        <is>
          <t>RR Klantnummer</t>
        </is>
      </c>
      <c r="B37" s="6" t="n"/>
      <c r="C37" s="2" t="n"/>
    </row>
    <row r="38">
      <c r="A38" s="4" t="inlineStr">
        <is>
          <t>RR Folder Link</t>
        </is>
      </c>
      <c r="B38" s="6" t="n"/>
      <c r="C38" s="2" t="n"/>
    </row>
    <row r="39">
      <c r="A39" s="4" t="inlineStr">
        <is>
          <t>RR Projectleider</t>
        </is>
      </c>
      <c r="B39" s="6" t="n"/>
      <c r="C39" s="2" t="n"/>
    </row>
    <row r="40">
      <c r="A40" s="4" t="inlineStr">
        <is>
          <t>RR Inspecteur</t>
        </is>
      </c>
      <c r="B40" s="6" t="n"/>
      <c r="C40" s="2" t="n"/>
    </row>
    <row r="41">
      <c r="A41" s="4" t="inlineStr">
        <is>
          <t>RR Factuurnummer</t>
        </is>
      </c>
      <c r="B41" s="6" t="n"/>
      <c r="C41" s="2" t="n"/>
    </row>
    <row r="42">
      <c r="A42" s="2" t="n"/>
      <c r="B42" s="2" t="n"/>
      <c r="C42" s="2" t="n"/>
    </row>
    <row r="43">
      <c r="A43" s="12" t="inlineStr">
        <is>
          <t>BEREKENDE VELDEN (automatisch berekend)</t>
        </is>
      </c>
      <c r="B43" s="44" t="n"/>
      <c r="C43" s="13" t="inlineStr">
        <is>
          <t>← Live preview (beveiligd)</t>
        </is>
      </c>
    </row>
    <row r="44">
      <c r="A44" s="4" t="inlineStr">
        <is>
          <t>Borg Gebruikt (automatisch)</t>
        </is>
      </c>
      <c r="B44" s="11" t="n">
        <v>500</v>
      </c>
      <c r="C44" s="2" t="n"/>
    </row>
    <row r="45">
      <c r="A45" s="4" t="inlineStr">
        <is>
          <t>Borg Terug (automatisch)</t>
        </is>
      </c>
      <c r="B45" s="11">
        <f>IF(Borg_gebruikt="","",Voorschot_borg-Borg_gebruikt)</f>
        <v/>
      </c>
      <c r="C45" s="2" t="n"/>
    </row>
    <row r="46">
      <c r="A46" s="4" t="inlineStr">
        <is>
          <t>Restschade (automatisch)</t>
        </is>
      </c>
      <c r="B46" s="11">
        <f>IF(Borg_gebruikt="","",MAX(0,Borg_gebruikt-Voorschot_borg))</f>
        <v/>
      </c>
      <c r="C46" s="2" t="n"/>
    </row>
    <row r="47">
      <c r="A47" s="4" t="inlineStr">
        <is>
          <t>GWE Meer/Minder (automatisch)</t>
        </is>
      </c>
      <c r="B47" s="11">
        <f>IF(GWE_Detail!GWE_totaal_incl="","",Voorschot_GWE-GWE_Detail!GWE_totaal_incl)</f>
        <v/>
      </c>
      <c r="C47" s="2" t="n"/>
    </row>
    <row r="48">
      <c r="A48" s="14" t="inlineStr">
        <is>
          <t>Totaal Eindafrekening (automatisch)</t>
        </is>
      </c>
      <c r="B48" s="15">
        <f>IF(OR(Borg_terug="",GWE_meer_minder="",Schoonmaak!Extra_schoonmaak_bedrag=""),"",Borg_terug+GWE_meer_minder-Schoonmaak!Extra_schoonmaak_bedrag)</f>
        <v/>
      </c>
      <c r="C4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sqref="B28" showDropDown="0" showInputMessage="0" showErrorMessage="0" allowBlank="0" errorTitle="Ongeldige invoer" error="Kies Basis Schoonmaak of Intensief Schoonmaak" type="list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6" t="inlineStr">
        <is>
          <t>GAS / WATER / ELEKTRA DETAIL</t>
        </is>
      </c>
      <c r="B1" s="45" t="n"/>
      <c r="C1" s="45" t="n"/>
      <c r="D1" s="44" t="n"/>
    </row>
    <row r="2">
      <c r="A2" s="2" t="n"/>
      <c r="B2" s="2" t="n"/>
      <c r="C2" s="2" t="n"/>
      <c r="D2" s="2" t="n"/>
    </row>
    <row r="3">
      <c r="A3" s="17" t="inlineStr">
        <is>
          <t>METERSTANDEN</t>
        </is>
      </c>
      <c r="B3" s="45" t="n"/>
      <c r="C3" s="45" t="n"/>
      <c r="D3" s="44" t="n"/>
    </row>
    <row r="4">
      <c r="A4" s="4" t="inlineStr">
        <is>
          <t>Elektra (kWh) Begin *</t>
        </is>
      </c>
      <c r="B4" s="18" t="n">
        <v>10000</v>
      </c>
      <c r="C4" s="2" t="n"/>
      <c r="D4" s="2" t="n"/>
    </row>
    <row r="5">
      <c r="A5" s="4" t="inlineStr">
        <is>
          <t>Elektra (kWh) Eind *</t>
        </is>
      </c>
      <c r="B5" s="18" t="n">
        <v>10450</v>
      </c>
      <c r="C5" s="2" t="n"/>
      <c r="D5" s="2" t="n"/>
    </row>
    <row r="6">
      <c r="A6" s="4" t="inlineStr">
        <is>
          <t>Elektra (kWh) Verbruik (automatisch)</t>
        </is>
      </c>
      <c r="B6" s="19">
        <f>IF(AND(B4&lt;&gt;"",B5&lt;&gt;""),B5-B4,"")</f>
        <v/>
      </c>
      <c r="C6" s="2" t="n"/>
      <c r="D6" s="2" t="n"/>
    </row>
    <row r="7">
      <c r="A7" s="4" t="inlineStr">
        <is>
          <t>Gas (m³) Begin *</t>
        </is>
      </c>
      <c r="B7" s="20" t="n">
        <v>5000</v>
      </c>
      <c r="C7" s="2" t="n"/>
      <c r="D7" s="2" t="n"/>
    </row>
    <row r="8">
      <c r="A8" s="4" t="inlineStr">
        <is>
          <t>Gas (m³) Eind *</t>
        </is>
      </c>
      <c r="B8" s="20" t="n">
        <v>5060</v>
      </c>
      <c r="C8" s="2" t="n"/>
      <c r="D8" s="2" t="n"/>
    </row>
    <row r="9">
      <c r="A9" s="4" t="inlineStr">
        <is>
          <t>Gas (m³) Verbruik (automatisch)</t>
        </is>
      </c>
      <c r="B9" s="21">
        <f>IF(AND(B7&lt;&gt;"",B8&lt;&gt;""),B8-B7,"")</f>
        <v/>
      </c>
      <c r="C9" s="2" t="n"/>
      <c r="D9" s="2" t="n"/>
    </row>
    <row r="10">
      <c r="A10" s="2" t="n"/>
      <c r="B10" s="2" t="n"/>
      <c r="C10" s="2" t="n"/>
      <c r="D10" s="2" t="n"/>
    </row>
    <row r="11">
      <c r="A11" s="17" t="inlineStr">
        <is>
          <t>KOSTENREGELS - Verbruik omzetten naar Euro's</t>
        </is>
      </c>
      <c r="B11" s="45" t="n"/>
      <c r="C11" s="45" t="n"/>
      <c r="D11" s="44" t="n"/>
    </row>
    <row r="12" ht="30" customHeight="1">
      <c r="A12" s="22" t="inlineStr">
        <is>
          <t>💡 Vul hier de kosten in op basis van verbruik × tarief van energieleverancier. Voorbeelden staan hieronder (grijs). Verwijder voorbeelden en vul eigen regels in.</t>
        </is>
      </c>
      <c r="B12" s="46" t="n"/>
      <c r="C12" s="46" t="n"/>
      <c r="D12" s="47" t="n"/>
    </row>
    <row r="13" ht="30" customHeight="1">
      <c r="A13" s="23" t="inlineStr">
        <is>
          <t>Omschrijving</t>
        </is>
      </c>
      <c r="B13" s="23" t="inlineStr">
        <is>
          <t>Verbruik (kWh/m³) of Dagen</t>
        </is>
      </c>
      <c r="C13" s="23" t="inlineStr">
        <is>
          <t>Tarief excl. BTW (€)</t>
        </is>
      </c>
      <c r="D13" s="23" t="inlineStr">
        <is>
          <t>Kosten excl. BTW (€)</t>
        </is>
      </c>
    </row>
    <row r="14">
      <c r="A14" s="24" t="inlineStr">
        <is>
          <t>Elektra verbruik (zie meterstand)</t>
        </is>
      </c>
      <c r="B14" s="25">
        <f>KWh_verbruik</f>
        <v/>
      </c>
      <c r="C14" s="26" t="n">
        <v>0.3</v>
      </c>
      <c r="D14" s="26">
        <f>B14*C14</f>
        <v/>
      </c>
    </row>
    <row r="15">
      <c r="A15" s="24" t="inlineStr">
        <is>
          <t>Gas verbruik (zie meterstand)</t>
        </is>
      </c>
      <c r="B15" s="25">
        <f>Gas_verbruik</f>
        <v/>
      </c>
      <c r="C15" s="26" t="n">
        <v>1.2</v>
      </c>
      <c r="D15" s="26">
        <f>B15*C15</f>
        <v/>
      </c>
    </row>
    <row r="16">
      <c r="A16" s="24" t="inlineStr">
        <is>
          <t>Vaste levering elektra per dag</t>
        </is>
      </c>
      <c r="B16" s="25">
        <f>Algemeen!Aantal_dagen</f>
        <v/>
      </c>
      <c r="C16" s="26" t="n">
        <v>0.5</v>
      </c>
      <c r="D16" s="26">
        <f>B16*C16</f>
        <v/>
      </c>
    </row>
    <row r="17">
      <c r="A17" s="24" t="inlineStr">
        <is>
          <t>Vaste levering gas per dag</t>
        </is>
      </c>
      <c r="B17" s="25">
        <f>Algemeen!Aantal_dagen</f>
        <v/>
      </c>
      <c r="C17" s="26" t="n">
        <v>0.45</v>
      </c>
      <c r="D17" s="26">
        <f>B17*C17</f>
        <v/>
      </c>
    </row>
    <row r="18">
      <c r="A18" s="24" t="inlineStr">
        <is>
          <t>Waterverbruik (geschat per dag)</t>
        </is>
      </c>
      <c r="B18" s="25">
        <f>Algemeen!Aantal_dagen</f>
        <v/>
      </c>
      <c r="C18" s="26" t="n">
        <v>3.5</v>
      </c>
      <c r="D18" s="26">
        <f>B18*C18</f>
        <v/>
      </c>
    </row>
    <row r="19">
      <c r="A19" s="6" t="n"/>
      <c r="B19" s="27" t="n"/>
      <c r="C19" s="28" t="n"/>
      <c r="D19" s="28" t="n"/>
    </row>
    <row r="20">
      <c r="A20" s="6" t="n"/>
      <c r="B20" s="27" t="n"/>
      <c r="C20" s="28" t="n"/>
      <c r="D20" s="28" t="n"/>
    </row>
    <row r="21">
      <c r="A21" s="6" t="n"/>
      <c r="B21" s="27" t="n"/>
      <c r="C21" s="28" t="n"/>
      <c r="D21" s="28" t="n"/>
    </row>
    <row r="22">
      <c r="A22" s="6" t="n"/>
      <c r="B22" s="27" t="n"/>
      <c r="C22" s="28" t="n"/>
      <c r="D22" s="28" t="n"/>
    </row>
    <row r="23">
      <c r="A23" s="6" t="n"/>
      <c r="B23" s="27" t="n"/>
      <c r="C23" s="28" t="n"/>
      <c r="D23" s="28" t="n"/>
    </row>
    <row r="24">
      <c r="A24" s="6" t="n"/>
      <c r="B24" s="27" t="n"/>
      <c r="C24" s="28" t="n"/>
      <c r="D24" s="28" t="n"/>
    </row>
    <row r="25">
      <c r="A25" s="6" t="n"/>
      <c r="B25" s="27" t="n"/>
      <c r="C25" s="28" t="n"/>
      <c r="D25" s="28" t="n"/>
    </row>
    <row r="26">
      <c r="A26" s="6" t="n"/>
      <c r="B26" s="27" t="n"/>
      <c r="C26" s="28" t="n"/>
      <c r="D26" s="28" t="n"/>
    </row>
    <row r="27">
      <c r="A27" s="6" t="n"/>
      <c r="B27" s="27" t="n"/>
      <c r="C27" s="28" t="n"/>
      <c r="D27" s="28" t="n"/>
    </row>
    <row r="28">
      <c r="A28" s="6" t="n"/>
      <c r="B28" s="27" t="n"/>
      <c r="C28" s="28" t="n"/>
      <c r="D28" s="28" t="n"/>
    </row>
    <row r="29">
      <c r="A29" s="6" t="n"/>
      <c r="B29" s="27" t="n"/>
      <c r="C29" s="28" t="n"/>
      <c r="D29" s="28" t="n"/>
    </row>
    <row r="30">
      <c r="A30" s="6" t="n"/>
      <c r="B30" s="27" t="n"/>
      <c r="C30" s="28" t="n"/>
      <c r="D30" s="28" t="n"/>
    </row>
    <row r="31">
      <c r="A31" s="6" t="n"/>
      <c r="B31" s="27" t="n"/>
      <c r="C31" s="28" t="n"/>
      <c r="D31" s="28" t="n"/>
    </row>
    <row r="32">
      <c r="A32" s="6" t="n"/>
      <c r="B32" s="27" t="n"/>
      <c r="C32" s="28" t="n"/>
      <c r="D32" s="28" t="n"/>
    </row>
    <row r="33">
      <c r="A33" s="6" t="n"/>
      <c r="B33" s="27" t="n"/>
      <c r="C33" s="28" t="n"/>
      <c r="D33" s="28" t="n"/>
    </row>
    <row r="34">
      <c r="A34" s="2" t="n"/>
      <c r="B34" s="2" t="n"/>
      <c r="C34" s="2" t="n"/>
      <c r="D34" s="2" t="n"/>
    </row>
    <row r="35">
      <c r="A35" s="12" t="inlineStr">
        <is>
          <t>TOTALEN (automatisch berekend)</t>
        </is>
      </c>
      <c r="B35" s="45" t="n"/>
      <c r="C35" s="45" t="n"/>
      <c r="D35" s="44" t="n"/>
    </row>
    <row r="36">
      <c r="A36" s="4" t="inlineStr">
        <is>
          <t>Totaal excl. BTW (automatisch)</t>
        </is>
      </c>
      <c r="B36" s="11">
        <f>SUM(D14:D34)</f>
        <v/>
      </c>
      <c r="C36" s="2" t="n"/>
      <c r="D36" s="2" t="n"/>
    </row>
    <row r="37">
      <c r="A37" s="4" t="inlineStr">
        <is>
          <t>BTW 21% (automatisch)</t>
        </is>
      </c>
      <c r="B37" s="11">
        <f>IF(B36="","",B36*0.21)</f>
        <v/>
      </c>
      <c r="C37" s="2" t="n"/>
      <c r="D37" s="2" t="n"/>
    </row>
    <row r="38">
      <c r="A38" s="29" t="inlineStr">
        <is>
          <t>Totaal incl. BTW (automatisch)</t>
        </is>
      </c>
      <c r="B38" s="30">
        <f>IF(B36="","",B36+B37)</f>
        <v/>
      </c>
      <c r="C38" s="2" t="n"/>
      <c r="D3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1" t="inlineStr">
        <is>
          <t>SCHOONMAAK OVERZICHT</t>
        </is>
      </c>
      <c r="B1" s="47" t="n"/>
    </row>
    <row r="3">
      <c r="A3" s="32" t="inlineStr">
        <is>
          <t>SCHOONMAAK GEGEVENS</t>
        </is>
      </c>
      <c r="B3" s="47" t="n"/>
    </row>
    <row r="4">
      <c r="A4" s="33" t="inlineStr">
        <is>
          <t>Schoonmaak Pakket *</t>
        </is>
      </c>
      <c r="B4" s="34">
        <f>Algemeen!Schoonmaak_pakket_type</f>
        <v/>
      </c>
    </row>
    <row r="5">
      <c r="A5" s="33" t="inlineStr">
        <is>
          <t>Inbegrepen Uren (automatisch)</t>
        </is>
      </c>
      <c r="B5" s="8">
        <f>IF(B4="Basis Schoonmaak",5,IF(B4="Intensief Schoonmaak",7,0))</f>
        <v/>
      </c>
    </row>
    <row r="6">
      <c r="A6" s="33" t="inlineStr">
        <is>
          <t>Totaal Uren Gewerkt *</t>
        </is>
      </c>
      <c r="B6" s="35" t="n"/>
    </row>
    <row r="7">
      <c r="A7" s="33" t="inlineStr">
        <is>
          <t>Extra Uren (automatisch)</t>
        </is>
      </c>
      <c r="B7" s="36" t="n">
        <v>0</v>
      </c>
    </row>
    <row r="8">
      <c r="A8" s="33" t="inlineStr">
        <is>
          <t>Uurtarief *</t>
        </is>
      </c>
      <c r="B8" s="37">
        <f>Algemeen!Uurtarief_schoonmaak</f>
        <v/>
      </c>
    </row>
    <row r="9">
      <c r="A9" s="38" t="inlineStr">
        <is>
          <t>Extra Schoonmaak Bedrag (automatisch)</t>
        </is>
      </c>
      <c r="B9" s="30">
        <f>IF(AND(B7&lt;&gt;"",B8&lt;&gt;""),B7*B8,"")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</cols>
  <sheetData>
    <row r="1">
      <c r="A1" s="39" t="inlineStr">
        <is>
          <t>SCHADEPOSTEN OVERZICHT</t>
        </is>
      </c>
      <c r="B1" s="46" t="n"/>
      <c r="C1" s="46" t="n"/>
      <c r="D1" s="47" t="n"/>
    </row>
    <row r="3">
      <c r="A3" s="40" t="inlineStr">
        <is>
          <t>Vul hieronder alle schadeposten in. Bedrag wordt automatisch berekend (Aantal × Tarief).</t>
        </is>
      </c>
    </row>
    <row r="5" ht="25" customHeight="1">
      <c r="A5" s="41" t="inlineStr">
        <is>
          <t>Beschrijving</t>
        </is>
      </c>
      <c r="B5" s="41" t="inlineStr">
        <is>
          <t>Aantal</t>
        </is>
      </c>
      <c r="C5" s="41" t="inlineStr">
        <is>
          <t>Tarief excl. BTW</t>
        </is>
      </c>
      <c r="D5" s="41" t="inlineStr">
        <is>
          <t>Bedrag excl. BTW</t>
        </is>
      </c>
    </row>
    <row r="6">
      <c r="A6" s="6" t="n"/>
      <c r="B6" s="42" t="n"/>
      <c r="C6" s="28" t="n"/>
      <c r="D6" s="11">
        <f>IF(AND(B6&lt;&gt;"",C6&lt;&gt;""),B6*C6,"")</f>
        <v/>
      </c>
    </row>
    <row r="7">
      <c r="A7" s="6" t="n"/>
      <c r="B7" s="42" t="n"/>
      <c r="C7" s="28" t="n"/>
      <c r="D7" s="11">
        <f>IF(AND(B7&lt;&gt;"",C7&lt;&gt;""),B7*C7,"")</f>
        <v/>
      </c>
    </row>
    <row r="8">
      <c r="A8" s="6" t="n"/>
      <c r="B8" s="42" t="n"/>
      <c r="C8" s="28" t="n"/>
      <c r="D8" s="11">
        <f>IF(AND(B8&lt;&gt;"",C8&lt;&gt;""),B8*C8,"")</f>
        <v/>
      </c>
    </row>
    <row r="9">
      <c r="A9" s="6" t="n"/>
      <c r="B9" s="42" t="n"/>
      <c r="C9" s="28" t="n"/>
      <c r="D9" s="11">
        <f>IF(AND(B9&lt;&gt;"",C9&lt;&gt;""),B9*C9,"")</f>
        <v/>
      </c>
    </row>
    <row r="10">
      <c r="A10" s="6" t="n"/>
      <c r="B10" s="42" t="n"/>
      <c r="C10" s="28" t="n"/>
      <c r="D10" s="11">
        <f>IF(AND(B10&lt;&gt;"",C10&lt;&gt;""),B10*C10,"")</f>
        <v/>
      </c>
    </row>
    <row r="11">
      <c r="A11" s="6" t="n"/>
      <c r="B11" s="42" t="n"/>
      <c r="C11" s="28" t="n"/>
      <c r="D11" s="11">
        <f>IF(AND(B11&lt;&gt;"",C11&lt;&gt;""),B11*C11,"")</f>
        <v/>
      </c>
    </row>
    <row r="12">
      <c r="A12" s="6" t="n"/>
      <c r="B12" s="42" t="n"/>
      <c r="C12" s="28" t="n"/>
      <c r="D12" s="11">
        <f>IF(AND(B12&lt;&gt;"",C12&lt;&gt;""),B12*C12,"")</f>
        <v/>
      </c>
    </row>
    <row r="13">
      <c r="A13" s="6" t="n"/>
      <c r="B13" s="42" t="n"/>
      <c r="C13" s="28" t="n"/>
      <c r="D13" s="11">
        <f>IF(AND(B13&lt;&gt;"",C13&lt;&gt;""),B13*C13,"")</f>
        <v/>
      </c>
    </row>
    <row r="14">
      <c r="A14" s="6" t="n"/>
      <c r="B14" s="42" t="n"/>
      <c r="C14" s="28" t="n"/>
      <c r="D14" s="11">
        <f>IF(AND(B14&lt;&gt;"",C14&lt;&gt;""),B14*C14,"")</f>
        <v/>
      </c>
    </row>
    <row r="15">
      <c r="A15" s="6" t="n"/>
      <c r="B15" s="42" t="n"/>
      <c r="C15" s="28" t="n"/>
      <c r="D15" s="11">
        <f>IF(AND(B15&lt;&gt;"",C15&lt;&gt;""),B15*C15,"")</f>
        <v/>
      </c>
    </row>
    <row r="16">
      <c r="A16" s="6" t="n"/>
      <c r="B16" s="42" t="n"/>
      <c r="C16" s="28" t="n"/>
      <c r="D16" s="11">
        <f>IF(AND(B16&lt;&gt;"",C16&lt;&gt;""),B16*C16,"")</f>
        <v/>
      </c>
    </row>
    <row r="17">
      <c r="A17" s="6" t="n"/>
      <c r="B17" s="42" t="n"/>
      <c r="C17" s="28" t="n"/>
      <c r="D17" s="11">
        <f>IF(AND(B17&lt;&gt;"",C17&lt;&gt;""),B17*C17,"")</f>
        <v/>
      </c>
    </row>
    <row r="18">
      <c r="A18" s="6" t="n"/>
      <c r="B18" s="42" t="n"/>
      <c r="C18" s="28" t="n"/>
      <c r="D18" s="11">
        <f>IF(AND(B18&lt;&gt;"",C18&lt;&gt;""),B18*C18,"")</f>
        <v/>
      </c>
    </row>
    <row r="19">
      <c r="A19" s="6" t="n"/>
      <c r="B19" s="42" t="n"/>
      <c r="C19" s="28" t="n"/>
      <c r="D19" s="11">
        <f>IF(AND(B19&lt;&gt;"",C19&lt;&gt;""),B19*C19,"")</f>
        <v/>
      </c>
    </row>
    <row r="20">
      <c r="A20" s="6" t="n"/>
      <c r="B20" s="42" t="n"/>
      <c r="C20" s="28" t="n"/>
      <c r="D20" s="11">
        <f>IF(AND(B20&lt;&gt;"",C20&lt;&gt;""),B20*C20,"")</f>
        <v/>
      </c>
    </row>
    <row r="21">
      <c r="A21" s="6" t="n"/>
      <c r="B21" s="42" t="n"/>
      <c r="C21" s="28" t="n"/>
      <c r="D21" s="11">
        <f>IF(AND(B21&lt;&gt;"",C21&lt;&gt;""),B21*C21,"")</f>
        <v/>
      </c>
    </row>
    <row r="22">
      <c r="A22" s="6" t="n"/>
      <c r="B22" s="42" t="n"/>
      <c r="C22" s="28" t="n"/>
      <c r="D22" s="11">
        <f>IF(AND(B22&lt;&gt;"",C22&lt;&gt;""),B22*C22,"")</f>
        <v/>
      </c>
    </row>
    <row r="23">
      <c r="A23" s="6" t="n"/>
      <c r="B23" s="42" t="n"/>
      <c r="C23" s="28" t="n"/>
      <c r="D23" s="11">
        <f>IF(AND(B23&lt;&gt;"",C23&lt;&gt;""),B23*C23,"")</f>
        <v/>
      </c>
    </row>
    <row r="24">
      <c r="A24" s="6" t="n"/>
      <c r="B24" s="42" t="n"/>
      <c r="C24" s="28" t="n"/>
      <c r="D24" s="11">
        <f>IF(AND(B24&lt;&gt;"",C24&lt;&gt;""),B24*C24,"")</f>
        <v/>
      </c>
    </row>
    <row r="25">
      <c r="A25" s="6" t="n"/>
      <c r="B25" s="42" t="n"/>
      <c r="C25" s="28" t="n"/>
      <c r="D25" s="11">
        <f>IF(AND(B25&lt;&gt;"",C25&lt;&gt;""),B25*C25,"")</f>
        <v/>
      </c>
    </row>
    <row r="26">
      <c r="A26" s="6" t="n"/>
      <c r="B26" s="42" t="n"/>
      <c r="C26" s="28" t="n"/>
      <c r="D26" s="11">
        <f>IF(AND(B26&lt;&gt;"",C26&lt;&gt;""),B26*C26,"")</f>
        <v/>
      </c>
    </row>
    <row r="27">
      <c r="A27" s="6" t="n"/>
      <c r="B27" s="42" t="n"/>
      <c r="C27" s="28" t="n"/>
      <c r="D27" s="11">
        <f>IF(AND(B27&lt;&gt;"",C27&lt;&gt;""),B27*C27,"")</f>
        <v/>
      </c>
    </row>
    <row r="28">
      <c r="A28" s="6" t="n"/>
      <c r="B28" s="42" t="n"/>
      <c r="C28" s="28" t="n"/>
      <c r="D28" s="11">
        <f>IF(AND(B28&lt;&gt;"",C28&lt;&gt;""),B28*C28,"")</f>
        <v/>
      </c>
    </row>
    <row r="29">
      <c r="A29" s="6" t="n"/>
      <c r="B29" s="42" t="n"/>
      <c r="C29" s="28" t="n"/>
      <c r="D29" s="11">
        <f>IF(AND(B29&lt;&gt;"",C29&lt;&gt;""),B29*C29,"")</f>
        <v/>
      </c>
    </row>
    <row r="30">
      <c r="A30" s="6" t="n"/>
      <c r="B30" s="42" t="n"/>
      <c r="C30" s="28" t="n"/>
      <c r="D30" s="11">
        <f>IF(AND(B30&lt;&gt;"",C30&lt;&gt;""),B30*C30,"")</f>
        <v/>
      </c>
    </row>
    <row r="31">
      <c r="A31" s="6" t="n"/>
      <c r="B31" s="42" t="n"/>
      <c r="C31" s="28" t="n"/>
      <c r="D31" s="11">
        <f>IF(AND(B31&lt;&gt;"",C31&lt;&gt;""),B31*C31,"")</f>
        <v/>
      </c>
    </row>
    <row r="32">
      <c r="A32" s="6" t="n"/>
      <c r="B32" s="42" t="n"/>
      <c r="C32" s="28" t="n"/>
      <c r="D32" s="11">
        <f>IF(AND(B32&lt;&gt;"",C32&lt;&gt;""),B32*C32,"")</f>
        <v/>
      </c>
    </row>
    <row r="33">
      <c r="A33" s="6" t="n"/>
      <c r="B33" s="42" t="n"/>
      <c r="C33" s="28" t="n"/>
      <c r="D33" s="11">
        <f>IF(AND(B33&lt;&gt;"",C33&lt;&gt;""),B33*C33,"")</f>
        <v/>
      </c>
    </row>
    <row r="34">
      <c r="A34" s="6" t="n"/>
      <c r="B34" s="42" t="n"/>
      <c r="C34" s="28" t="n"/>
      <c r="D34" s="11">
        <f>IF(AND(B34&lt;&gt;"",C34&lt;&gt;""),B34*C34,"")</f>
        <v/>
      </c>
    </row>
    <row r="35">
      <c r="A35" s="6" t="n"/>
      <c r="B35" s="42" t="n"/>
      <c r="C35" s="28" t="n"/>
      <c r="D35" s="11">
        <f>IF(AND(B35&lt;&gt;"",C35&lt;&gt;""),B35*C35,"")</f>
        <v/>
      </c>
    </row>
    <row r="36">
      <c r="A36" s="6" t="n"/>
      <c r="B36" s="42" t="n"/>
      <c r="C36" s="28" t="n"/>
      <c r="D36" s="11">
        <f>IF(AND(B36&lt;&gt;"",C36&lt;&gt;""),B36*C36,"")</f>
        <v/>
      </c>
    </row>
    <row r="37">
      <c r="A37" s="6" t="n"/>
      <c r="B37" s="42" t="n"/>
      <c r="C37" s="28" t="n"/>
      <c r="D37" s="11">
        <f>IF(AND(B37&lt;&gt;"",C37&lt;&gt;""),B37*C37,"")</f>
        <v/>
      </c>
    </row>
    <row r="38">
      <c r="A38" s="6" t="n"/>
      <c r="B38" s="42" t="n"/>
      <c r="C38" s="28" t="n"/>
      <c r="D38" s="11">
        <f>IF(AND(B38&lt;&gt;"",C38&lt;&gt;""),B38*C38,"")</f>
        <v/>
      </c>
    </row>
    <row r="39">
      <c r="A39" s="6" t="n"/>
      <c r="B39" s="42" t="n"/>
      <c r="C39" s="28" t="n"/>
      <c r="D39" s="11">
        <f>IF(AND(B39&lt;&gt;"",C39&lt;&gt;""),B39*C39,"")</f>
        <v/>
      </c>
    </row>
    <row r="40">
      <c r="A40" s="6" t="n"/>
      <c r="B40" s="42" t="n"/>
      <c r="C40" s="28" t="n"/>
      <c r="D40" s="11">
        <f>IF(AND(B40&lt;&gt;"",C40&lt;&gt;""),B40*C40,"")</f>
        <v/>
      </c>
    </row>
    <row r="41">
      <c r="A41" s="6" t="n"/>
      <c r="B41" s="42" t="n"/>
      <c r="C41" s="28" t="n"/>
      <c r="D41" s="11">
        <f>IF(AND(B41&lt;&gt;"",C41&lt;&gt;""),B41*C41,"")</f>
        <v/>
      </c>
    </row>
    <row r="42">
      <c r="A42" s="6" t="n"/>
      <c r="B42" s="42" t="n"/>
      <c r="C42" s="28" t="n"/>
      <c r="D42" s="11">
        <f>IF(AND(B42&lt;&gt;"",C42&lt;&gt;""),B42*C42,"")</f>
        <v/>
      </c>
    </row>
    <row r="43">
      <c r="A43" s="6" t="n"/>
      <c r="B43" s="42" t="n"/>
      <c r="C43" s="28" t="n"/>
      <c r="D43" s="11">
        <f>IF(AND(B43&lt;&gt;"",C43&lt;&gt;""),B43*C43,"")</f>
        <v/>
      </c>
    </row>
    <row r="44">
      <c r="A44" s="6" t="n"/>
      <c r="B44" s="42" t="n"/>
      <c r="C44" s="28" t="n"/>
      <c r="D44" s="11">
        <f>IF(AND(B44&lt;&gt;"",C44&lt;&gt;""),B44*C44,"")</f>
        <v/>
      </c>
    </row>
    <row r="45">
      <c r="A45" s="6" t="n"/>
      <c r="B45" s="42" t="n"/>
      <c r="C45" s="28" t="n"/>
      <c r="D45" s="11">
        <f>IF(AND(B45&lt;&gt;"",C45&lt;&gt;""),B45*C45,"")</f>
        <v/>
      </c>
    </row>
    <row r="46">
      <c r="A46" s="6" t="n"/>
      <c r="B46" s="42" t="n"/>
      <c r="C46" s="28" t="n"/>
      <c r="D46" s="11">
        <f>IF(AND(B46&lt;&gt;"",C46&lt;&gt;""),B46*C46,"")</f>
        <v/>
      </c>
    </row>
    <row r="47">
      <c r="A47" s="6" t="n"/>
      <c r="B47" s="42" t="n"/>
      <c r="C47" s="28" t="n"/>
      <c r="D47" s="11">
        <f>IF(AND(B47&lt;&gt;"",C47&lt;&gt;""),B47*C47,"")</f>
        <v/>
      </c>
    </row>
    <row r="48">
      <c r="A48" s="6" t="n"/>
      <c r="B48" s="42" t="n"/>
      <c r="C48" s="28" t="n"/>
      <c r="D48" s="11">
        <f>IF(AND(B48&lt;&gt;"",C48&lt;&gt;""),B48*C48,"")</f>
        <v/>
      </c>
    </row>
    <row r="49">
      <c r="A49" s="6" t="n"/>
      <c r="B49" s="42" t="n"/>
      <c r="C49" s="28" t="n"/>
      <c r="D49" s="11">
        <f>IF(AND(B49&lt;&gt;"",C49&lt;&gt;""),B49*C49,"")</f>
        <v/>
      </c>
    </row>
    <row r="50">
      <c r="A50" s="6" t="n"/>
      <c r="B50" s="42" t="n"/>
      <c r="C50" s="28" t="n"/>
      <c r="D50" s="11">
        <f>IF(AND(B50&lt;&gt;"",C50&lt;&gt;""),B50*C50,"")</f>
        <v/>
      </c>
    </row>
    <row r="51">
      <c r="A51" s="6" t="n"/>
      <c r="B51" s="42" t="n"/>
      <c r="C51" s="28" t="n"/>
      <c r="D51" s="11">
        <f>IF(AND(B51&lt;&gt;"",C51&lt;&gt;""),B51*C51,"")</f>
        <v/>
      </c>
    </row>
    <row r="52">
      <c r="A52" s="6" t="n"/>
      <c r="B52" s="42" t="n"/>
      <c r="C52" s="28" t="n"/>
      <c r="D52" s="11">
        <f>IF(AND(B52&lt;&gt;"",C52&lt;&gt;""),B52*C52,"")</f>
        <v/>
      </c>
    </row>
    <row r="53">
      <c r="A53" s="6" t="n"/>
      <c r="B53" s="42" t="n"/>
      <c r="C53" s="28" t="n"/>
      <c r="D53" s="11">
        <f>IF(AND(B53&lt;&gt;"",C53&lt;&gt;""),B53*C53,"")</f>
        <v/>
      </c>
    </row>
    <row r="54">
      <c r="A54" s="6" t="n"/>
      <c r="B54" s="42" t="n"/>
      <c r="C54" s="28" t="n"/>
      <c r="D54" s="11">
        <f>IF(AND(B54&lt;&gt;"",C54&lt;&gt;""),B54*C54,"")</f>
        <v/>
      </c>
    </row>
    <row r="55">
      <c r="A55" s="6" t="n"/>
      <c r="B55" s="42" t="n"/>
      <c r="C55" s="28" t="n"/>
      <c r="D55" s="11">
        <f>IF(AND(B55&lt;&gt;"",C55&lt;&gt;""),B55*C55,"")</f>
        <v/>
      </c>
    </row>
    <row r="57">
      <c r="A57" s="43" t="inlineStr">
        <is>
          <t>TOTALEN (automatisch berekend)</t>
        </is>
      </c>
      <c r="B57" s="46" t="n"/>
      <c r="C57" s="46" t="n"/>
      <c r="D57" s="47" t="n"/>
    </row>
    <row r="58">
      <c r="A58" s="33" t="inlineStr">
        <is>
          <t>Totaal Schade excl. BTW (automatisch)</t>
        </is>
      </c>
      <c r="B58" s="11">
        <f>SUM(D6:D56)</f>
        <v/>
      </c>
    </row>
    <row r="59">
      <c r="A59" s="33" t="inlineStr">
        <is>
          <t>BTW 21% (automatisch)</t>
        </is>
      </c>
      <c r="B59" s="11">
        <f>IF(B58="","",B58*0.21)</f>
        <v/>
      </c>
    </row>
    <row r="60">
      <c r="A60" s="38" t="inlineStr">
        <is>
          <t>Totaal Schade incl. BTW (automatisch)</t>
        </is>
      </c>
      <c r="B60" s="30">
        <f>IF(B58="","",B58+B59)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5CB0AF9-DA5A-402D-9B8E-E93E40F381C9}"/>
</file>

<file path=customXml/itemProps2.xml><?xml version="1.0" encoding="utf-8"?>
<ds:datastoreItem xmlns:ds="http://schemas.openxmlformats.org/officeDocument/2006/customXml" ds:itemID="{ABF74167-E86F-4763-9495-D62966F51BE5}"/>
</file>

<file path=customXml/itemProps3.xml><?xml version="1.0" encoding="utf-8"?>
<ds:datastoreItem xmlns:ds="http://schemas.openxmlformats.org/officeDocument/2006/customXml" ds:itemID="{1582040C-DAB8-44E4-8903-8EFF9B25DF3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2025-11-20T13:03:33Z</dcterms:created>
  <dcterms:modified xsi:type="dcterms:W3CDTF">2025-11-20T14:56:57Z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