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7" documentId="11_B35AA9964DDD097B9B40786D4FA0CCAAF806F77D" xr6:coauthVersionLast="47" xr6:coauthVersionMax="47" xr10:uidLastSave="{E6D7FBFF-B7C9-F642-BB75-1775796E7383}"/>
  <bookViews>
    <workbookView xWindow="-20" yWindow="780" windowWidth="17280" windowHeight="20280" activeTab="1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58" i="4" s="1"/>
  <c r="B8" i="3"/>
  <c r="B4" i="3"/>
  <c r="B5" i="3" s="1"/>
  <c r="B18" i="2"/>
  <c r="D18" i="2" s="1"/>
  <c r="B17" i="2"/>
  <c r="D17" i="2" s="1"/>
  <c r="D16" i="2"/>
  <c r="D15" i="2"/>
  <c r="D14" i="2"/>
  <c r="B59" i="4" l="1"/>
  <c r="B60" i="4" s="1"/>
</calcChain>
</file>

<file path=xl/sharedStrings.xml><?xml version="1.0" encoding="utf-8"?>
<sst xmlns="http://schemas.openxmlformats.org/spreadsheetml/2006/main" count="108" uniqueCount="100">
  <si>
    <t>RYANRENT EINDAFREKENING - BASISGEGEVENS</t>
  </si>
  <si>
    <t>KLANTGEGEVENS</t>
  </si>
  <si>
    <t>Naam Klant *</t>
  </si>
  <si>
    <t>Familie de Jong</t>
  </si>
  <si>
    <t>Contactpersoon</t>
  </si>
  <si>
    <t>Mark van RyanRent</t>
  </si>
  <si>
    <t>Email *</t>
  </si>
  <si>
    <t>p.dejong@email.nl</t>
  </si>
  <si>
    <t>Telefoonnummer</t>
  </si>
  <si>
    <t>06-55443322</t>
  </si>
  <si>
    <t>OBJECTGEGEVENS</t>
  </si>
  <si>
    <t>Adres Object *</t>
  </si>
  <si>
    <t>Hoofdstraat 123</t>
  </si>
  <si>
    <t>Unit Nummer</t>
  </si>
  <si>
    <t>5678 CD</t>
  </si>
  <si>
    <t>Postcode</t>
  </si>
  <si>
    <t>Rotterdam</t>
  </si>
  <si>
    <t>Plaats</t>
  </si>
  <si>
    <t>Zandvoort</t>
  </si>
  <si>
    <t>Object ID</t>
  </si>
  <si>
    <t>RR-2024-088</t>
  </si>
  <si>
    <t>01-03-2024</t>
  </si>
  <si>
    <t>30-11-2024</t>
  </si>
  <si>
    <t>Incheck Datum *</t>
  </si>
  <si>
    <t>Uitcheck Datum *</t>
  </si>
  <si>
    <t>Aantal Dagen (automatisch)</t>
  </si>
  <si>
    <t>Voorschot Borg *</t>
  </si>
  <si>
    <t>Voorschot GWE *</t>
  </si>
  <si>
    <t>Ja, inclusief GWE detail</t>
  </si>
  <si>
    <t>Overige Voorschotten</t>
  </si>
  <si>
    <t>Intensief Schoonmaak</t>
  </si>
  <si>
    <t>CONTRACTGEGEVENS</t>
  </si>
  <si>
    <t>Schoonmaak Pakket *</t>
  </si>
  <si>
    <t>Voorschot Schoonmaak (automatisch)</t>
  </si>
  <si>
    <t>Inbegrepen Uren (automatisch)</t>
  </si>
  <si>
    <t>Uurtarief Schoonmaak *</t>
  </si>
  <si>
    <t>Meterbeheerder</t>
  </si>
  <si>
    <t>Enexis</t>
  </si>
  <si>
    <t>Energie Leverancier</t>
  </si>
  <si>
    <t>Vattenfall</t>
  </si>
  <si>
    <t>Contractnummer</t>
  </si>
  <si>
    <t>INTERNE RYANRENT GEGEVENS</t>
  </si>
  <si>
    <t>RR Klantnummer</t>
  </si>
  <si>
    <t>KL-2025-088</t>
  </si>
  <si>
    <t>RR Folder Link</t>
  </si>
  <si>
    <t>RR Projectleider</t>
  </si>
  <si>
    <t>Mark</t>
  </si>
  <si>
    <t>RR Inspecteur</t>
  </si>
  <si>
    <t>Anna</t>
  </si>
  <si>
    <t>RR Factuurnummer</t>
  </si>
  <si>
    <t>RR-2025-0042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</si>
  <si>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</si>
  <si>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</si>
  <si>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</si>
  <si>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</si>
  <si>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</si>
  <si>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</si>
  <si>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</si>
  <si>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</si>
  <si>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</si>
  <si>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</si>
  <si>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</si>
  <si>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</si>
  <si>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</si>
  <si>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</si>
  <si>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</si>
  <si>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</si>
  <si>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</si>
  <si>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</si>
  <si>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</si>
  <si>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</si>
  <si>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Elektra verbruik (zie meterstand)</t>
  </si>
  <si>
    <t>Gas verbruik (zie meterstand)</t>
  </si>
  <si>
    <t>Vaste levering elektra per dag</t>
  </si>
  <si>
    <t>Vaste levering gas per dag</t>
  </si>
  <si>
    <t>Waterverbruik (geschat per dag)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</si>
  <si>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</si>
  <si>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</si>
  <si>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</si>
  <si>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</si>
  <si>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</si>
  <si>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</si>
  <si>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</si>
  <si>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</si>
  <si>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</si>
  <si>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</si>
  <si>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</si>
  <si>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</si>
  <si>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</si>
  <si>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</si>
  <si>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</si>
  <si>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</si>
  <si>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Beschadigde vloer</t>
  </si>
  <si>
    <t>Schade behang</t>
  </si>
  <si>
    <t>Kapotte lamp</t>
  </si>
  <si>
    <t>Gebroken deurklink</t>
  </si>
  <si>
    <t>Vlekken tapijt (reiniging)</t>
  </si>
  <si>
    <t>Totaal Schade excl. BTW (automatisch)</t>
  </si>
  <si>
    <t>Totaal Schade incl. BTW (automatisch)</t>
  </si>
  <si>
    <t>Basis Schoonmaak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</si>
</sst>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164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3" fontId="0" fillId="4" borderId="1" xfId="0" applyNumberFormat="1" applyFill="1" applyBorder="1" applyProtection="1">
      <protection locked="0"/>
    </xf>
    <xf numFmtId="4" fontId="0" fillId="4" borderId="1" xfId="0" applyNumberFormat="1" applyFill="1" applyBorder="1" applyProtection="1"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Protection="1">
      <protection locked="0"/>
    </xf>
    <xf numFmtId="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9" fillId="0" borderId="0" xfId="0" applyFont="1" applyProtection="1">
      <protection locked="0"/>
    </xf>
    <xf numFmtId="2" fontId="0" fillId="4" borderId="1" xfId="0" applyNumberFormat="1" applyFill="1" applyBorder="1" applyProtection="1">
      <protection locked="0"/>
    </xf>
    <xf numFmtId="1" fontId="0" fillId="0" borderId="1" xfId="0" applyNumberFormat="1" applyBorder="1" applyProtection="1">
      <protection locked="0"/>
    </xf>
    <xf numFmtId="1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5" fontId="5" fillId="5" borderId="2" xfId="0" applyNumberFormat="1" applyFont="1" applyFill="1" applyBorder="1" applyProtection="1">
      <protection locked="0"/>
    </xf>
    <xf numFmtId="3" fontId="0" fillId="5" borderId="1" xfId="0" applyNumberFormat="1" applyFill="1" applyBorder="1" applyProtection="1">
      <protection locked="0"/>
    </xf>
    <xf numFmtId="4" fontId="0" fillId="5" borderId="1" xfId="0" applyNumberFormat="1" applyFill="1" applyBorder="1" applyProtection="1">
      <protection locked="0"/>
    </xf>
    <xf numFmtId="4" fontId="8" fillId="9" borderId="1" xfId="0" applyNumberFormat="1" applyFont="1" applyFill="1" applyBorder="1" applyProtection="1">
      <protection locked="0"/>
    </xf>
    <xf numFmtId="165" fontId="8" fillId="9" borderId="1" xfId="0" applyNumberFormat="1" applyFont="1" applyFill="1" applyBorder="1" applyProtection="1">
      <protection locked="0"/>
    </xf>
    <xf numFmtId="165" fontId="9" fillId="5" borderId="2" xfId="0" applyNumberFormat="1" applyFont="1" applyFill="1" applyBorder="1" applyProtection="1">
      <protection locked="0"/>
    </xf>
    <xf numFmtId="0" fontId="10" fillId="4" borderId="1" xfId="0" applyFont="1" applyFill="1" applyBorder="1" applyProtection="1">
      <protection locked="0"/>
    </xf>
    <xf numFmtId="2" fontId="0" fillId="5" borderId="1" xfId="0" applyNumberFormat="1" applyFill="1" applyBorder="1" applyProtection="1">
      <protection locked="0"/>
    </xf>
    <xf numFmtId="165" fontId="10" fillId="4" borderId="1" xfId="0" applyNumberFormat="1" applyFont="1" applyFill="1" applyBorder="1" applyProtection="1"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2" fillId="8" borderId="1" xfId="0" applyFont="1" applyFill="1" applyBorder="1" applyProtection="1">
      <protection locked="0"/>
    </xf>
    <xf numFmtId="0" fontId="2" fillId="11" borderId="1" xfId="0" applyFont="1" applyFill="1" applyBorder="1" applyProtection="1">
      <protection locked="0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8"/>
  <sheetViews>
    <sheetView workbookViewId="0">
      <pane ySplit="2" topLeftCell="A3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3" ht="16" customHeight="1" x14ac:dyDescent="0.2">
      <c r="A1" s="33" t="s">
        <v>0</v>
      </c>
      <c r="B1" s="31"/>
      <c r="C1" s="1"/>
    </row>
    <row r="2" spans="1:3" x14ac:dyDescent="0.2">
      <c r="A2" s="1"/>
      <c r="B2" s="1"/>
      <c r="C2" s="1"/>
    </row>
    <row r="3" spans="1:3" x14ac:dyDescent="0.2">
      <c r="A3" s="30" t="s">
        <v>1</v>
      </c>
      <c r="B3" s="31"/>
      <c r="C3" s="1"/>
    </row>
    <row r="4" spans="1:3" x14ac:dyDescent="0.2">
      <c r="A4" s="2" t="s">
        <v>2</v>
      </c>
      <c r="B4" s="3" t="s">
        <v>3</v>
      </c>
      <c r="C4" s="1"/>
    </row>
    <row r="5" spans="1:3" x14ac:dyDescent="0.2">
      <c r="A5" s="2" t="s">
        <v>4</v>
      </c>
      <c r="B5" s="4" t="s">
        <v>5</v>
      </c>
      <c r="C5" s="1"/>
    </row>
    <row r="6" spans="1:3" x14ac:dyDescent="0.2">
      <c r="A6" s="2" t="s">
        <v>6</v>
      </c>
      <c r="B6" s="3" t="s">
        <v>7</v>
      </c>
      <c r="C6" s="1"/>
    </row>
    <row r="7" spans="1:3" x14ac:dyDescent="0.2">
      <c r="A7" s="2" t="s">
        <v>8</v>
      </c>
      <c r="B7" s="4" t="s">
        <v>9</v>
      </c>
      <c r="C7" s="1"/>
    </row>
    <row r="8" spans="1:3" x14ac:dyDescent="0.2">
      <c r="A8" s="1"/>
      <c r="B8" s="1"/>
      <c r="C8" s="1"/>
    </row>
    <row r="9" spans="1:3" x14ac:dyDescent="0.2">
      <c r="A9" s="30" t="s">
        <v>10</v>
      </c>
      <c r="B9" s="31"/>
      <c r="C9" s="1"/>
    </row>
    <row r="10" spans="1:3" x14ac:dyDescent="0.2">
      <c r="A10" s="2" t="s">
        <v>11</v>
      </c>
      <c r="B10" s="3" t="s">
        <v>12</v>
      </c>
      <c r="C10" s="1"/>
    </row>
    <row r="11" spans="1:3" x14ac:dyDescent="0.2">
      <c r="A11" s="2" t="s">
        <v>13</v>
      </c>
      <c r="B11" s="4" t="s">
        <v>14</v>
      </c>
      <c r="C11" s="1"/>
    </row>
    <row r="12" spans="1:3" x14ac:dyDescent="0.2">
      <c r="A12" s="2" t="s">
        <v>15</v>
      </c>
      <c r="B12" s="4" t="s">
        <v>16</v>
      </c>
      <c r="C12" s="1"/>
    </row>
    <row r="13" spans="1:3" x14ac:dyDescent="0.2">
      <c r="A13" s="2" t="s">
        <v>17</v>
      </c>
      <c r="B13" s="4" t="s">
        <v>18</v>
      </c>
      <c r="C13" s="1"/>
    </row>
    <row r="14" spans="1:3" x14ac:dyDescent="0.2">
      <c r="A14" s="2" t="s">
        <v>19</v>
      </c>
      <c r="B14" s="4" t="s">
        <v>20</v>
      </c>
      <c r="C14" s="1"/>
    </row>
    <row r="15" spans="1:3" x14ac:dyDescent="0.2">
      <c r="A15" s="1"/>
      <c r="B15" s="1" t="s">
        <v>21</v>
      </c>
      <c r="C15" s="1"/>
    </row>
    <row r="16" spans="1:3" x14ac:dyDescent="0.2">
      <c r="A16" s="30" t="s">
        <v>22</v>
      </c>
      <c r="B16" s="31"/>
      <c r="C16" s="1"/>
    </row>
    <row r="17" spans="1:3" x14ac:dyDescent="0.2">
      <c r="A17" s="2" t="s">
        <v>23</v>
      </c>
      <c r="B17" s="5">
        <v>45853</v>
      </c>
      <c r="C17" s="1"/>
    </row>
    <row r="18" spans="1:3" x14ac:dyDescent="0.2">
      <c r="A18" s="2" t="s">
        <v>24</v>
      </c>
      <c r="B18" s="5">
        <v>45867</v>
      </c>
      <c r="C18" s="1"/>
    </row>
    <row r="19" spans="1:3" x14ac:dyDescent="0.2">
      <c r="A19" s="2" t="s">
        <v>25</v>
      </c>
      <c r="B19" s="18">
        <v>1800</v>
      </c>
      <c r="C19" s="1"/>
    </row>
    <row r="20" spans="1:3" x14ac:dyDescent="0.2">
      <c r="A20" s="1"/>
      <c r="B20" s="1">
        <v>9</v>
      </c>
      <c r="C20" s="1"/>
    </row>
    <row r="21" spans="1:3" x14ac:dyDescent="0.2">
      <c r="A21" s="30">
        <v>2</v>
      </c>
      <c r="B21" s="31"/>
      <c r="C21" s="1"/>
    </row>
    <row r="22" spans="1:3" x14ac:dyDescent="0.2">
      <c r="A22" s="2" t="s">
        <v>26</v>
      </c>
      <c r="B22" s="6">
        <v>500</v>
      </c>
      <c r="C22" s="1"/>
    </row>
    <row r="23" spans="1:3" x14ac:dyDescent="0.2">
      <c r="A23" s="2" t="s">
        <v>27</v>
      </c>
      <c r="B23" s="6">
        <v>300</v>
      </c>
      <c r="C23" s="1"/>
    </row>
    <row r="24" spans="1:3" x14ac:dyDescent="0.2">
      <c r="A24" s="1"/>
      <c r="B24" s="1" t="s">
        <v>28</v>
      </c>
      <c r="C24" s="1"/>
    </row>
    <row r="25" spans="1:3" x14ac:dyDescent="0.2">
      <c r="A25" s="2" t="s">
        <v>29</v>
      </c>
      <c r="B25" s="14" t="s">
        <v>30</v>
      </c>
      <c r="C25" s="1"/>
    </row>
    <row r="26" spans="1:3" x14ac:dyDescent="0.2">
      <c r="A26" s="1"/>
      <c r="B26" s="1"/>
      <c r="C26" s="1"/>
    </row>
    <row r="27" spans="1:3" x14ac:dyDescent="0.2">
      <c r="A27" s="30" t="s">
        <v>31</v>
      </c>
      <c r="B27" s="31"/>
      <c r="C27" s="1"/>
    </row>
    <row r="28" spans="1:3" x14ac:dyDescent="0.2">
      <c r="A28" s="2" t="s">
        <v>32</v>
      </c>
      <c r="B28" s="3" t="s">
        <v>99</v>
      </c>
      <c r="C28" s="1"/>
    </row>
    <row r="29" spans="1:3" x14ac:dyDescent="0.2">
      <c r="A29" s="2" t="s">
        <v>33</v>
      </c>
      <c r="B29" s="19">
        <v>250</v>
      </c>
      <c r="C29" s="1"/>
    </row>
    <row r="30" spans="1:3" x14ac:dyDescent="0.2">
      <c r="A30" s="2" t="s">
        <v>34</v>
      </c>
      <c r="B30" s="18">
        <v>5</v>
      </c>
      <c r="C30" s="1"/>
    </row>
    <row r="31" spans="1:3" x14ac:dyDescent="0.2">
      <c r="A31" s="2" t="s">
        <v>35</v>
      </c>
      <c r="B31" s="6">
        <v>50</v>
      </c>
      <c r="C31" s="1"/>
    </row>
    <row r="32" spans="1:3" x14ac:dyDescent="0.2">
      <c r="A32" s="2" t="s">
        <v>36</v>
      </c>
      <c r="B32" s="4" t="s">
        <v>37</v>
      </c>
      <c r="C32" s="1"/>
    </row>
    <row r="33" spans="1:3" x14ac:dyDescent="0.2">
      <c r="A33" s="2" t="s">
        <v>38</v>
      </c>
      <c r="B33" s="4" t="s">
        <v>39</v>
      </c>
      <c r="C33" s="1"/>
    </row>
    <row r="34" spans="1:3" x14ac:dyDescent="0.2">
      <c r="A34" s="2" t="s">
        <v>40</v>
      </c>
      <c r="B34" s="4"/>
      <c r="C34" s="1"/>
    </row>
    <row r="35" spans="1:3" x14ac:dyDescent="0.2">
      <c r="A35" s="1"/>
      <c r="B35" s="1"/>
      <c r="C35" s="1"/>
    </row>
    <row r="36" spans="1:3" x14ac:dyDescent="0.2">
      <c r="A36" s="30" t="s">
        <v>41</v>
      </c>
      <c r="B36" s="31"/>
      <c r="C36" s="1"/>
    </row>
    <row r="37" spans="1:3" x14ac:dyDescent="0.2">
      <c r="A37" s="2" t="s">
        <v>42</v>
      </c>
      <c r="B37" s="4" t="s">
        <v>43</v>
      </c>
      <c r="C37" s="1"/>
    </row>
    <row r="38" spans="1:3" x14ac:dyDescent="0.2">
      <c r="A38" s="2" t="s">
        <v>44</v>
      </c>
      <c r="B38" s="4"/>
      <c r="C38" s="1"/>
    </row>
    <row r="39" spans="1:3" x14ac:dyDescent="0.2">
      <c r="A39" s="2" t="s">
        <v>45</v>
      </c>
      <c r="B39" s="4" t="s">
        <v>46</v>
      </c>
      <c r="C39" s="1"/>
    </row>
    <row r="40" spans="1:3" x14ac:dyDescent="0.2">
      <c r="A40" s="2" t="s">
        <v>47</v>
      </c>
      <c r="B40" s="4" t="s">
        <v>48</v>
      </c>
      <c r="C40" s="1"/>
    </row>
    <row r="41" spans="1:3" x14ac:dyDescent="0.2">
      <c r="A41" s="2" t="s">
        <v>49</v>
      </c>
      <c r="B41" s="4" t="s">
        <v>50</v>
      </c>
      <c r="C41" s="1"/>
    </row>
    <row r="42" spans="1:3" x14ac:dyDescent="0.2">
      <c r="A42" s="1"/>
      <c r="B42" s="1"/>
      <c r="C42" s="1"/>
    </row>
    <row r="43" spans="1:3" x14ac:dyDescent="0.2">
      <c r="A43" s="32" t="s">
        <v>51</v>
      </c>
      <c r="B43" s="31"/>
      <c r="C43" s="7" t="s">
        <v>52</v>
      </c>
    </row>
    <row r="44" spans="1:3" x14ac:dyDescent="0.2">
      <c r="A44" s="2" t="s">
        <v>53</v>
      </c>
      <c r="B44" s="19">
        <v>500</v>
      </c>
      <c r="C44" s="1"/>
    </row>
    <row r="45" spans="1:3" x14ac:dyDescent="0.2">
      <c r="A45" s="2" t="s">
        <v>54</v>
      </c>
      <c r="B45" s="19">
        <v>0</v>
      </c>
      <c r="C45" s="1"/>
    </row>
    <row r="46" spans="1:3" x14ac:dyDescent="0.2">
      <c r="A46" s="2" t="s">
        <v>55</v>
      </c>
      <c r="B46" s="19">
        <v>0</v>
      </c>
      <c r="C46" s="1"/>
    </row>
    <row r="47" spans="1:3" x14ac:dyDescent="0.2">
      <c r="A47" s="2" t="s">
        <v>56</v>
      </c>
      <c r="B47" s="19">
        <v>-285.64</v>
      </c>
      <c r="C47" s="1"/>
    </row>
    <row r="48" spans="1:3" x14ac:dyDescent="0.2">
      <c r="A48" s="8" t="s">
        <v>57</v>
      </c>
      <c r="B48" s="20">
        <v>-410.64</v>
      </c>
      <c r="C48" s="1"/>
    </row>
  </sheetData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type="list" errorTitle="Ongeldige invoer" error="Kies Basis Schoonmaak of Intensief Schoonmaak" sqref="B28" xr:uid="{00000000-0002-0000-0000-000000000000}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tabSelected="1" workbookViewId="0">
      <pane ySplit="5" topLeftCell="A6" activePane="bottomLeft" state="frozen"/>
      <selection pane="bottomLeft" sqref="A1:D1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customHeight="1" x14ac:dyDescent="0.2">
      <c r="A1" s="34" t="s">
        <v>58</v>
      </c>
      <c r="B1" s="35"/>
      <c r="C1" s="35"/>
      <c r="D1" s="31"/>
    </row>
    <row r="2" spans="1:4" x14ac:dyDescent="0.2">
      <c r="A2" s="1"/>
      <c r="B2" s="1"/>
      <c r="C2" s="1"/>
      <c r="D2" s="1"/>
    </row>
    <row r="3" spans="1:4" x14ac:dyDescent="0.2">
      <c r="A3" s="37" t="s">
        <v>59</v>
      </c>
      <c r="B3" s="35"/>
      <c r="C3" s="35"/>
      <c r="D3" s="31"/>
    </row>
    <row r="4" spans="1:4" x14ac:dyDescent="0.2">
      <c r="A4" s="2" t="s">
        <v>60</v>
      </c>
      <c r="B4" s="9">
        <v>10000</v>
      </c>
      <c r="C4" s="1"/>
      <c r="D4" s="1"/>
    </row>
    <row r="5" spans="1:4" x14ac:dyDescent="0.2">
      <c r="A5" s="2" t="s">
        <v>61</v>
      </c>
      <c r="B5" s="9">
        <v>13500</v>
      </c>
      <c r="C5" s="1"/>
      <c r="D5" s="1"/>
    </row>
    <row r="6" spans="1:4" x14ac:dyDescent="0.2">
      <c r="A6" s="2" t="s">
        <v>62</v>
      </c>
      <c r="B6" s="21">
        <v>850</v>
      </c>
      <c r="C6" s="1"/>
      <c r="D6" s="1"/>
    </row>
    <row r="7" spans="1:4" x14ac:dyDescent="0.2">
      <c r="A7" s="2" t="s">
        <v>63</v>
      </c>
      <c r="B7" s="10">
        <v>5000</v>
      </c>
      <c r="C7" s="1"/>
      <c r="D7" s="1"/>
    </row>
    <row r="8" spans="1:4" x14ac:dyDescent="0.2">
      <c r="A8" s="2" t="s">
        <v>64</v>
      </c>
      <c r="B8" s="10">
        <v>6800</v>
      </c>
      <c r="C8" s="1"/>
      <c r="D8" s="1"/>
    </row>
    <row r="9" spans="1:4" x14ac:dyDescent="0.2">
      <c r="A9" s="2" t="s">
        <v>65</v>
      </c>
      <c r="B9" s="22">
        <v>120</v>
      </c>
      <c r="C9" s="1"/>
      <c r="D9" s="1"/>
    </row>
    <row r="10" spans="1:4" x14ac:dyDescent="0.2">
      <c r="A10" s="1"/>
      <c r="B10" s="1">
        <v>2000</v>
      </c>
      <c r="C10" s="1"/>
      <c r="D10" s="1"/>
    </row>
    <row r="11" spans="1:4" x14ac:dyDescent="0.2">
      <c r="A11" s="37">
        <v>2250</v>
      </c>
      <c r="B11" s="35"/>
      <c r="C11" s="35"/>
      <c r="D11" s="31"/>
    </row>
    <row r="12" spans="1:4" ht="30" customHeight="1" x14ac:dyDescent="0.2">
      <c r="A12" s="36" t="s">
        <v>66</v>
      </c>
      <c r="B12" s="35"/>
      <c r="C12" s="35"/>
      <c r="D12" s="31"/>
    </row>
    <row r="13" spans="1:4" ht="30" customHeight="1" x14ac:dyDescent="0.2">
      <c r="A13" s="11" t="s">
        <v>67</v>
      </c>
      <c r="B13" s="11" t="s">
        <v>68</v>
      </c>
      <c r="C13" s="11" t="s">
        <v>69</v>
      </c>
      <c r="D13" s="11" t="s">
        <v>70</v>
      </c>
    </row>
    <row r="14" spans="1:4" x14ac:dyDescent="0.2">
      <c r="A14" s="12" t="s">
        <v>71</v>
      </c>
      <c r="B14" s="23">
        <v>0.3</v>
      </c>
      <c r="C14" s="24">
        <v>0.3</v>
      </c>
      <c r="D14" s="24">
        <f>B14*C14</f>
        <v>0.09</v>
      </c>
    </row>
    <row r="15" spans="1:4" x14ac:dyDescent="0.2">
      <c r="A15" s="12" t="s">
        <v>72</v>
      </c>
      <c r="B15" s="23">
        <v>1.5</v>
      </c>
      <c r="C15" s="24">
        <v>1.2</v>
      </c>
      <c r="D15" s="24">
        <f>B15*C15</f>
        <v>1.7999999999999998</v>
      </c>
    </row>
    <row r="16" spans="1:4" x14ac:dyDescent="0.2">
      <c r="A16" s="12" t="s">
        <v>73</v>
      </c>
      <c r="B16" s="23">
        <v>1.65</v>
      </c>
      <c r="C16" s="24">
        <v>0.5</v>
      </c>
      <c r="D16" s="24">
        <f>B16*C16</f>
        <v>0.82499999999999996</v>
      </c>
    </row>
    <row r="17" spans="1:4" x14ac:dyDescent="0.2">
      <c r="A17" s="12" t="s">
        <v>74</v>
      </c>
      <c r="B17" s="23">
        <f>[0]!Aantal_dagen</f>
        <v>1800</v>
      </c>
      <c r="C17" s="24">
        <v>0.45</v>
      </c>
      <c r="D17" s="24">
        <f>B17*C17</f>
        <v>810</v>
      </c>
    </row>
    <row r="18" spans="1:4" x14ac:dyDescent="0.2">
      <c r="A18" s="12" t="s">
        <v>75</v>
      </c>
      <c r="B18" s="23">
        <f>[0]!Aantal_dagen</f>
        <v>1800</v>
      </c>
      <c r="C18" s="24">
        <v>3.5</v>
      </c>
      <c r="D18" s="24">
        <f>B18*C18</f>
        <v>6300</v>
      </c>
    </row>
    <row r="19" spans="1:4" x14ac:dyDescent="0.2">
      <c r="A19" s="4"/>
      <c r="B19" s="13">
        <v>2000</v>
      </c>
      <c r="C19" s="14"/>
      <c r="D19" s="14"/>
    </row>
    <row r="20" spans="1:4" x14ac:dyDescent="0.2">
      <c r="A20" s="4"/>
      <c r="B20" s="13">
        <v>1000</v>
      </c>
      <c r="C20" s="14"/>
      <c r="D20" s="14"/>
    </row>
    <row r="21" spans="1:4" x14ac:dyDescent="0.2">
      <c r="A21" s="4"/>
      <c r="B21" s="13">
        <v>150</v>
      </c>
      <c r="C21" s="14"/>
      <c r="D21" s="14"/>
    </row>
    <row r="22" spans="1:4" x14ac:dyDescent="0.2">
      <c r="A22" s="4"/>
      <c r="B22" s="13"/>
      <c r="C22" s="14"/>
      <c r="D22" s="14"/>
    </row>
    <row r="23" spans="1:4" x14ac:dyDescent="0.2">
      <c r="A23" s="4"/>
      <c r="B23" s="13"/>
      <c r="C23" s="14"/>
      <c r="D23" s="14"/>
    </row>
    <row r="24" spans="1:4" x14ac:dyDescent="0.2">
      <c r="A24" s="4"/>
      <c r="B24" s="13"/>
      <c r="C24" s="14"/>
      <c r="D24" s="14"/>
    </row>
    <row r="25" spans="1:4" x14ac:dyDescent="0.2">
      <c r="A25" s="4"/>
      <c r="B25" s="13"/>
      <c r="C25" s="14"/>
      <c r="D25" s="14"/>
    </row>
    <row r="26" spans="1:4" x14ac:dyDescent="0.2">
      <c r="A26" s="4"/>
      <c r="B26" s="13"/>
      <c r="C26" s="14"/>
      <c r="D26" s="14"/>
    </row>
    <row r="27" spans="1:4" x14ac:dyDescent="0.2">
      <c r="A27" s="4"/>
      <c r="B27" s="13"/>
      <c r="C27" s="14"/>
      <c r="D27" s="14"/>
    </row>
    <row r="28" spans="1:4" x14ac:dyDescent="0.2">
      <c r="A28" s="4"/>
      <c r="B28" s="13"/>
      <c r="C28" s="14"/>
      <c r="D28" s="14"/>
    </row>
    <row r="29" spans="1:4" x14ac:dyDescent="0.2">
      <c r="A29" s="4"/>
      <c r="B29" s="13"/>
      <c r="C29" s="14"/>
      <c r="D29" s="14"/>
    </row>
    <row r="30" spans="1:4" x14ac:dyDescent="0.2">
      <c r="A30" s="4"/>
      <c r="B30" s="13"/>
      <c r="C30" s="14"/>
      <c r="D30" s="14"/>
    </row>
    <row r="31" spans="1:4" x14ac:dyDescent="0.2">
      <c r="A31" s="4"/>
      <c r="B31" s="13"/>
      <c r="C31" s="14"/>
      <c r="D31" s="14"/>
    </row>
    <row r="32" spans="1:4" x14ac:dyDescent="0.2">
      <c r="A32" s="4"/>
      <c r="B32" s="13"/>
      <c r="C32" s="14"/>
      <c r="D32" s="14"/>
    </row>
    <row r="33" spans="1:4" x14ac:dyDescent="0.2">
      <c r="A33" s="4"/>
      <c r="B33" s="13"/>
      <c r="C33" s="14"/>
      <c r="D33" s="14"/>
    </row>
    <row r="34" spans="1:4" x14ac:dyDescent="0.2">
      <c r="A34" s="1"/>
      <c r="B34" s="1"/>
      <c r="C34" s="1"/>
      <c r="D34" s="1"/>
    </row>
    <row r="35" spans="1:4" x14ac:dyDescent="0.2">
      <c r="A35" s="32" t="s">
        <v>76</v>
      </c>
      <c r="B35" s="35"/>
      <c r="C35" s="35"/>
      <c r="D35" s="31"/>
    </row>
    <row r="36" spans="1:4" x14ac:dyDescent="0.2">
      <c r="A36" s="2" t="s">
        <v>77</v>
      </c>
      <c r="B36" s="19">
        <v>484</v>
      </c>
      <c r="C36" s="1"/>
      <c r="D36" s="1"/>
    </row>
    <row r="37" spans="1:4" x14ac:dyDescent="0.2">
      <c r="A37" s="2" t="s">
        <v>78</v>
      </c>
      <c r="B37" s="19">
        <v>101.64</v>
      </c>
      <c r="C37" s="1"/>
      <c r="D37" s="1"/>
    </row>
    <row r="38" spans="1:4" x14ac:dyDescent="0.2">
      <c r="A38" s="15" t="s">
        <v>79</v>
      </c>
      <c r="B38" s="25">
        <v>585.64</v>
      </c>
      <c r="C38" s="1"/>
      <c r="D38" s="1"/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10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customHeight="1" x14ac:dyDescent="0.2">
      <c r="A1" s="39" t="s">
        <v>80</v>
      </c>
      <c r="B1" s="31"/>
    </row>
    <row r="2" spans="1:2" x14ac:dyDescent="0.2">
      <c r="A2" s="1"/>
      <c r="B2" s="1"/>
    </row>
    <row r="3" spans="1:2" x14ac:dyDescent="0.2">
      <c r="A3" s="38" t="s">
        <v>81</v>
      </c>
      <c r="B3" s="31"/>
    </row>
    <row r="4" spans="1:2" x14ac:dyDescent="0.2">
      <c r="A4" s="2" t="s">
        <v>32</v>
      </c>
      <c r="B4" s="26" t="str">
        <f>[0]!Schoonmaak_pakket_type</f>
        <v>Basis Schoonmaak</v>
      </c>
    </row>
    <row r="5" spans="1:2" x14ac:dyDescent="0.2">
      <c r="A5" s="2" t="s">
        <v>34</v>
      </c>
      <c r="B5" s="18">
        <f>IF(B4="Basis Schoonmaak",5,IF(B4="Intensief Schoonmaak",7,0))</f>
        <v>5</v>
      </c>
    </row>
    <row r="6" spans="1:2" x14ac:dyDescent="0.2">
      <c r="A6" s="2" t="s">
        <v>82</v>
      </c>
      <c r="B6" s="16">
        <v>15</v>
      </c>
    </row>
    <row r="7" spans="1:2" x14ac:dyDescent="0.2">
      <c r="A7" s="2" t="s">
        <v>83</v>
      </c>
      <c r="B7" s="27">
        <v>2.5</v>
      </c>
    </row>
    <row r="8" spans="1:2" x14ac:dyDescent="0.2">
      <c r="A8" s="2" t="s">
        <v>84</v>
      </c>
      <c r="B8" s="28">
        <f>[0]!Uurtarief_schoonmaak</f>
        <v>50</v>
      </c>
    </row>
    <row r="9" spans="1:2" x14ac:dyDescent="0.2">
      <c r="A9" s="15" t="s">
        <v>85</v>
      </c>
      <c r="B9" s="25">
        <v>125</v>
      </c>
    </row>
    <row r="10" spans="1:2" x14ac:dyDescent="0.2">
      <c r="B10">
        <v>38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 activeCell="C9" sqref="C9:C14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customHeight="1" x14ac:dyDescent="0.2">
      <c r="A1" s="40" t="s">
        <v>86</v>
      </c>
      <c r="B1" s="35"/>
      <c r="C1" s="35"/>
      <c r="D1" s="31"/>
    </row>
    <row r="2" spans="1:4" x14ac:dyDescent="0.2">
      <c r="A2" s="1"/>
      <c r="B2" s="1"/>
      <c r="C2" s="1"/>
      <c r="D2" s="1"/>
    </row>
    <row r="3" spans="1:4" x14ac:dyDescent="0.2">
      <c r="A3" s="41" t="s">
        <v>87</v>
      </c>
      <c r="B3" s="42"/>
      <c r="C3" s="42"/>
      <c r="D3" s="42"/>
    </row>
    <row r="4" spans="1:4" x14ac:dyDescent="0.2">
      <c r="A4" s="1"/>
      <c r="B4" s="1"/>
      <c r="C4" s="1"/>
      <c r="D4" s="1"/>
    </row>
    <row r="5" spans="1:4" ht="25" customHeight="1" x14ac:dyDescent="0.2">
      <c r="A5" s="29" t="s">
        <v>88</v>
      </c>
      <c r="B5" s="29" t="s">
        <v>89</v>
      </c>
      <c r="C5" s="29" t="s">
        <v>90</v>
      </c>
      <c r="D5" s="29" t="s">
        <v>91</v>
      </c>
    </row>
    <row r="6" spans="1:4" x14ac:dyDescent="0.2">
      <c r="A6" s="4" t="s">
        <v>92</v>
      </c>
      <c r="B6" s="17">
        <v>1</v>
      </c>
      <c r="C6" s="14">
        <v>200</v>
      </c>
      <c r="D6" s="19">
        <f t="shared" ref="D6:D37" si="0">IF(AND(B6&lt;&gt;"",C6&lt;&gt;""),B6*C6,"")</f>
        <v>200</v>
      </c>
    </row>
    <row r="7" spans="1:4" x14ac:dyDescent="0.2">
      <c r="A7" s="4" t="s">
        <v>93</v>
      </c>
      <c r="B7" s="17">
        <v>1</v>
      </c>
      <c r="C7" s="14">
        <v>120</v>
      </c>
      <c r="D7" s="19">
        <f t="shared" si="0"/>
        <v>120</v>
      </c>
    </row>
    <row r="8" spans="1:4" x14ac:dyDescent="0.2">
      <c r="A8" s="4" t="s">
        <v>94</v>
      </c>
      <c r="B8" s="17">
        <v>1</v>
      </c>
      <c r="C8" s="14">
        <v>65</v>
      </c>
      <c r="D8" s="19">
        <f t="shared" si="0"/>
        <v>65</v>
      </c>
    </row>
    <row r="9" spans="1:4" x14ac:dyDescent="0.2">
      <c r="A9" s="4" t="s">
        <v>95</v>
      </c>
      <c r="B9" s="17">
        <v>2</v>
      </c>
      <c r="C9" s="14">
        <v>40</v>
      </c>
      <c r="D9" s="19">
        <f t="shared" si="0"/>
        <v>80</v>
      </c>
    </row>
    <row r="10" spans="1:4" x14ac:dyDescent="0.2">
      <c r="A10" s="4" t="s">
        <v>96</v>
      </c>
      <c r="B10" s="17">
        <v>2</v>
      </c>
      <c r="C10" s="14">
        <v>150</v>
      </c>
      <c r="D10" s="19">
        <f t="shared" si="0"/>
        <v>300</v>
      </c>
    </row>
    <row r="11" spans="1:4" x14ac:dyDescent="0.2">
      <c r="A11" s="4" t="s">
        <v>93</v>
      </c>
      <c r="B11" s="17">
        <v>2</v>
      </c>
      <c r="C11" s="14">
        <v>260</v>
      </c>
      <c r="D11" s="19">
        <f t="shared" si="0"/>
        <v>520</v>
      </c>
    </row>
    <row r="12" spans="1:4" x14ac:dyDescent="0.2">
      <c r="A12" s="4" t="s">
        <v>94</v>
      </c>
      <c r="B12" s="17">
        <v>2</v>
      </c>
      <c r="C12" s="14">
        <v>370</v>
      </c>
      <c r="D12" s="19">
        <f t="shared" si="0"/>
        <v>740</v>
      </c>
    </row>
    <row r="13" spans="1:4" x14ac:dyDescent="0.2">
      <c r="A13" s="4" t="s">
        <v>95</v>
      </c>
      <c r="B13" s="17">
        <v>2</v>
      </c>
      <c r="C13" s="14">
        <v>480</v>
      </c>
      <c r="D13" s="19">
        <f t="shared" si="0"/>
        <v>960</v>
      </c>
    </row>
    <row r="14" spans="1:4" x14ac:dyDescent="0.2">
      <c r="A14" s="4" t="s">
        <v>95</v>
      </c>
      <c r="B14" s="17">
        <v>2</v>
      </c>
      <c r="C14" s="14">
        <v>590</v>
      </c>
      <c r="D14" s="19">
        <f t="shared" si="0"/>
        <v>1180</v>
      </c>
    </row>
    <row r="15" spans="1:4" x14ac:dyDescent="0.2">
      <c r="A15" s="4"/>
      <c r="B15" s="17"/>
      <c r="C15" s="14"/>
      <c r="D15" s="19" t="str">
        <f t="shared" si="0"/>
        <v/>
      </c>
    </row>
    <row r="16" spans="1:4" x14ac:dyDescent="0.2">
      <c r="A16" s="4"/>
      <c r="B16" s="17"/>
      <c r="C16" s="14"/>
      <c r="D16" s="19" t="str">
        <f t="shared" si="0"/>
        <v/>
      </c>
    </row>
    <row r="17" spans="1:4" x14ac:dyDescent="0.2">
      <c r="A17" s="4"/>
      <c r="B17" s="17"/>
      <c r="C17" s="14"/>
      <c r="D17" s="19" t="str">
        <f t="shared" si="0"/>
        <v/>
      </c>
    </row>
    <row r="18" spans="1:4" x14ac:dyDescent="0.2">
      <c r="A18" s="4"/>
      <c r="B18" s="17"/>
      <c r="C18" s="14"/>
      <c r="D18" s="19" t="str">
        <f t="shared" si="0"/>
        <v/>
      </c>
    </row>
    <row r="19" spans="1:4" x14ac:dyDescent="0.2">
      <c r="A19" s="4"/>
      <c r="B19" s="17"/>
      <c r="C19" s="14"/>
      <c r="D19" s="19" t="str">
        <f t="shared" si="0"/>
        <v/>
      </c>
    </row>
    <row r="20" spans="1:4" x14ac:dyDescent="0.2">
      <c r="A20" s="4"/>
      <c r="B20" s="17"/>
      <c r="C20" s="14"/>
      <c r="D20" s="19" t="str">
        <f t="shared" si="0"/>
        <v/>
      </c>
    </row>
    <row r="21" spans="1:4" x14ac:dyDescent="0.2">
      <c r="A21" s="4"/>
      <c r="B21" s="17"/>
      <c r="C21" s="14"/>
      <c r="D21" s="19" t="str">
        <f t="shared" si="0"/>
        <v/>
      </c>
    </row>
    <row r="22" spans="1:4" x14ac:dyDescent="0.2">
      <c r="A22" s="4"/>
      <c r="B22" s="17"/>
      <c r="C22" s="14"/>
      <c r="D22" s="19" t="str">
        <f t="shared" si="0"/>
        <v/>
      </c>
    </row>
    <row r="23" spans="1:4" x14ac:dyDescent="0.2">
      <c r="A23" s="4"/>
      <c r="B23" s="17"/>
      <c r="C23" s="14"/>
      <c r="D23" s="19" t="str">
        <f t="shared" si="0"/>
        <v/>
      </c>
    </row>
    <row r="24" spans="1:4" x14ac:dyDescent="0.2">
      <c r="A24" s="4"/>
      <c r="B24" s="17"/>
      <c r="C24" s="14"/>
      <c r="D24" s="19" t="str">
        <f t="shared" si="0"/>
        <v/>
      </c>
    </row>
    <row r="25" spans="1:4" x14ac:dyDescent="0.2">
      <c r="A25" s="4"/>
      <c r="B25" s="17"/>
      <c r="C25" s="14"/>
      <c r="D25" s="19" t="str">
        <f t="shared" si="0"/>
        <v/>
      </c>
    </row>
    <row r="26" spans="1:4" x14ac:dyDescent="0.2">
      <c r="A26" s="4"/>
      <c r="B26" s="17"/>
      <c r="C26" s="14"/>
      <c r="D26" s="19" t="str">
        <f t="shared" si="0"/>
        <v/>
      </c>
    </row>
    <row r="27" spans="1:4" x14ac:dyDescent="0.2">
      <c r="A27" s="4"/>
      <c r="B27" s="17"/>
      <c r="C27" s="14"/>
      <c r="D27" s="19" t="str">
        <f t="shared" si="0"/>
        <v/>
      </c>
    </row>
    <row r="28" spans="1:4" x14ac:dyDescent="0.2">
      <c r="A28" s="4"/>
      <c r="B28" s="17"/>
      <c r="C28" s="14"/>
      <c r="D28" s="19" t="str">
        <f t="shared" si="0"/>
        <v/>
      </c>
    </row>
    <row r="29" spans="1:4" x14ac:dyDescent="0.2">
      <c r="A29" s="4"/>
      <c r="B29" s="17"/>
      <c r="C29" s="14"/>
      <c r="D29" s="19" t="str">
        <f t="shared" si="0"/>
        <v/>
      </c>
    </row>
    <row r="30" spans="1:4" x14ac:dyDescent="0.2">
      <c r="A30" s="4"/>
      <c r="B30" s="17"/>
      <c r="C30" s="14"/>
      <c r="D30" s="19" t="str">
        <f t="shared" si="0"/>
        <v/>
      </c>
    </row>
    <row r="31" spans="1:4" x14ac:dyDescent="0.2">
      <c r="A31" s="4"/>
      <c r="B31" s="17"/>
      <c r="C31" s="14"/>
      <c r="D31" s="19" t="str">
        <f t="shared" si="0"/>
        <v/>
      </c>
    </row>
    <row r="32" spans="1:4" x14ac:dyDescent="0.2">
      <c r="A32" s="4"/>
      <c r="B32" s="17"/>
      <c r="C32" s="14"/>
      <c r="D32" s="19" t="str">
        <f t="shared" si="0"/>
        <v/>
      </c>
    </row>
    <row r="33" spans="1:4" x14ac:dyDescent="0.2">
      <c r="A33" s="4"/>
      <c r="B33" s="17"/>
      <c r="C33" s="14"/>
      <c r="D33" s="19" t="str">
        <f t="shared" si="0"/>
        <v/>
      </c>
    </row>
    <row r="34" spans="1:4" x14ac:dyDescent="0.2">
      <c r="A34" s="4"/>
      <c r="B34" s="17"/>
      <c r="C34" s="14"/>
      <c r="D34" s="19" t="str">
        <f t="shared" si="0"/>
        <v/>
      </c>
    </row>
    <row r="35" spans="1:4" x14ac:dyDescent="0.2">
      <c r="A35" s="4"/>
      <c r="B35" s="17"/>
      <c r="C35" s="14"/>
      <c r="D35" s="19" t="str">
        <f t="shared" si="0"/>
        <v/>
      </c>
    </row>
    <row r="36" spans="1:4" x14ac:dyDescent="0.2">
      <c r="A36" s="4"/>
      <c r="B36" s="17"/>
      <c r="C36" s="14"/>
      <c r="D36" s="19" t="str">
        <f t="shared" si="0"/>
        <v/>
      </c>
    </row>
    <row r="37" spans="1:4" x14ac:dyDescent="0.2">
      <c r="A37" s="4"/>
      <c r="B37" s="17"/>
      <c r="C37" s="14"/>
      <c r="D37" s="19" t="str">
        <f t="shared" si="0"/>
        <v/>
      </c>
    </row>
    <row r="38" spans="1:4" x14ac:dyDescent="0.2">
      <c r="A38" s="4"/>
      <c r="B38" s="17"/>
      <c r="C38" s="14"/>
      <c r="D38" s="19" t="str">
        <f t="shared" ref="D38:D69" si="1">IF(AND(B38&lt;&gt;"",C38&lt;&gt;""),B38*C38,"")</f>
        <v/>
      </c>
    </row>
    <row r="39" spans="1:4" x14ac:dyDescent="0.2">
      <c r="A39" s="4"/>
      <c r="B39" s="17"/>
      <c r="C39" s="14"/>
      <c r="D39" s="19" t="str">
        <f t="shared" si="1"/>
        <v/>
      </c>
    </row>
    <row r="40" spans="1:4" x14ac:dyDescent="0.2">
      <c r="A40" s="4"/>
      <c r="B40" s="17"/>
      <c r="C40" s="14"/>
      <c r="D40" s="19" t="str">
        <f t="shared" si="1"/>
        <v/>
      </c>
    </row>
    <row r="41" spans="1:4" x14ac:dyDescent="0.2">
      <c r="A41" s="4"/>
      <c r="B41" s="17"/>
      <c r="C41" s="14"/>
      <c r="D41" s="19" t="str">
        <f t="shared" si="1"/>
        <v/>
      </c>
    </row>
    <row r="42" spans="1:4" x14ac:dyDescent="0.2">
      <c r="A42" s="4"/>
      <c r="B42" s="17"/>
      <c r="C42" s="14"/>
      <c r="D42" s="19" t="str">
        <f t="shared" si="1"/>
        <v/>
      </c>
    </row>
    <row r="43" spans="1:4" x14ac:dyDescent="0.2">
      <c r="A43" s="4"/>
      <c r="B43" s="17"/>
      <c r="C43" s="14"/>
      <c r="D43" s="19" t="str">
        <f t="shared" si="1"/>
        <v/>
      </c>
    </row>
    <row r="44" spans="1:4" x14ac:dyDescent="0.2">
      <c r="A44" s="4"/>
      <c r="B44" s="17"/>
      <c r="C44" s="14"/>
      <c r="D44" s="19" t="str">
        <f t="shared" si="1"/>
        <v/>
      </c>
    </row>
    <row r="45" spans="1:4" x14ac:dyDescent="0.2">
      <c r="A45" s="4"/>
      <c r="B45" s="17"/>
      <c r="C45" s="14"/>
      <c r="D45" s="19" t="str">
        <f t="shared" si="1"/>
        <v/>
      </c>
    </row>
    <row r="46" spans="1:4" x14ac:dyDescent="0.2">
      <c r="A46" s="4"/>
      <c r="B46" s="17"/>
      <c r="C46" s="14"/>
      <c r="D46" s="19" t="str">
        <f t="shared" si="1"/>
        <v/>
      </c>
    </row>
    <row r="47" spans="1:4" x14ac:dyDescent="0.2">
      <c r="A47" s="4"/>
      <c r="B47" s="17"/>
      <c r="C47" s="14"/>
      <c r="D47" s="19" t="str">
        <f t="shared" si="1"/>
        <v/>
      </c>
    </row>
    <row r="48" spans="1:4" x14ac:dyDescent="0.2">
      <c r="A48" s="4"/>
      <c r="B48" s="17"/>
      <c r="C48" s="14"/>
      <c r="D48" s="19" t="str">
        <f t="shared" si="1"/>
        <v/>
      </c>
    </row>
    <row r="49" spans="1:4" x14ac:dyDescent="0.2">
      <c r="A49" s="4"/>
      <c r="B49" s="17"/>
      <c r="C49" s="14"/>
      <c r="D49" s="19" t="str">
        <f t="shared" si="1"/>
        <v/>
      </c>
    </row>
    <row r="50" spans="1:4" x14ac:dyDescent="0.2">
      <c r="A50" s="4"/>
      <c r="B50" s="17"/>
      <c r="C50" s="14"/>
      <c r="D50" s="19" t="str">
        <f t="shared" si="1"/>
        <v/>
      </c>
    </row>
    <row r="51" spans="1:4" x14ac:dyDescent="0.2">
      <c r="A51" s="4"/>
      <c r="B51" s="17"/>
      <c r="C51" s="14"/>
      <c r="D51" s="19" t="str">
        <f t="shared" si="1"/>
        <v/>
      </c>
    </row>
    <row r="52" spans="1:4" x14ac:dyDescent="0.2">
      <c r="A52" s="4"/>
      <c r="B52" s="17"/>
      <c r="C52" s="14"/>
      <c r="D52" s="19" t="str">
        <f t="shared" si="1"/>
        <v/>
      </c>
    </row>
    <row r="53" spans="1:4" x14ac:dyDescent="0.2">
      <c r="A53" s="4"/>
      <c r="B53" s="17"/>
      <c r="C53" s="14"/>
      <c r="D53" s="19" t="str">
        <f t="shared" si="1"/>
        <v/>
      </c>
    </row>
    <row r="54" spans="1:4" x14ac:dyDescent="0.2">
      <c r="A54" s="4"/>
      <c r="B54" s="17"/>
      <c r="C54" s="14"/>
      <c r="D54" s="19" t="str">
        <f t="shared" si="1"/>
        <v/>
      </c>
    </row>
    <row r="55" spans="1:4" x14ac:dyDescent="0.2">
      <c r="A55" s="4"/>
      <c r="B55" s="17"/>
      <c r="C55" s="14"/>
      <c r="D55" s="19" t="str">
        <f t="shared" si="1"/>
        <v/>
      </c>
    </row>
    <row r="56" spans="1:4" x14ac:dyDescent="0.2">
      <c r="A56" s="1"/>
      <c r="B56" s="1"/>
      <c r="C56" s="1"/>
      <c r="D56" s="1"/>
    </row>
    <row r="57" spans="1:4" x14ac:dyDescent="0.2">
      <c r="A57" s="32" t="s">
        <v>76</v>
      </c>
      <c r="B57" s="35"/>
      <c r="C57" s="35"/>
      <c r="D57" s="31"/>
    </row>
    <row r="58" spans="1:4" x14ac:dyDescent="0.2">
      <c r="A58" s="2" t="s">
        <v>97</v>
      </c>
      <c r="B58" s="19">
        <f>SUM(D6:D56)</f>
        <v>4165</v>
      </c>
      <c r="C58" s="1"/>
      <c r="D58" s="1"/>
    </row>
    <row r="59" spans="1:4" x14ac:dyDescent="0.2">
      <c r="A59" s="2" t="s">
        <v>78</v>
      </c>
      <c r="B59" s="19">
        <f>IF(B58="","",B58*0.21)</f>
        <v>874.65</v>
      </c>
      <c r="C59" s="1"/>
      <c r="D59" s="1"/>
    </row>
    <row r="60" spans="1:4" x14ac:dyDescent="0.2">
      <c r="A60" s="15" t="s">
        <v>98</v>
      </c>
      <c r="B60" s="25">
        <f>IF(B58="","",B58+B59)</f>
        <v>5039.6499999999996</v>
      </c>
      <c r="C60" s="1"/>
      <c r="D60" s="1"/>
    </row>
  </sheetData>
  <mergeCells count="3">
    <mergeCell ref="A1:D1"/>
    <mergeCell ref="A57:D57"/>
    <mergeCell ref="A3:D3"/>
  </mergeCells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77142B-0CF9-4FE9-BA8F-7545BE3E3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067959-C9B0-434F-B3FF-41925C09E1C0}">
  <ds:schemaRefs>
    <ds:schemaRef ds:uri="http://purl.org/dc/elements/1.1/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7e7f2dcd-0c2b-4478-ad05-247cf739c5b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16643F2-D1B4-41D6-BBED-6D6214017A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Schoonmaak_pakket_type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2025-11-20T16:06:32Z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